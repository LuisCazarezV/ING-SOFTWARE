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a\ING EN SOFTWARE\"/>
    </mc:Choice>
  </mc:AlternateContent>
  <xr:revisionPtr revIDLastSave="0" documentId="13_ncr:1_{5394D5DC-B7EC-488A-B954-0D8BBF3C5CD9}" xr6:coauthVersionLast="47" xr6:coauthVersionMax="47" xr10:uidLastSave="{00000000-0000-0000-0000-000000000000}"/>
  <bookViews>
    <workbookView showSheetTabs="0" xWindow="-120" yWindow="-120" windowWidth="21840" windowHeight="13290" tabRatio="442" activeTab="2" xr2:uid="{00000000-000D-0000-FFFF-FFFF00000000}"/>
  </bookViews>
  <sheets>
    <sheet name="MESES" sheetId="14" r:id="rId1"/>
    <sheet name="CITAS" sheetId="26" r:id="rId2"/>
    <sheet name="FORMULARIO" sheetId="29" r:id="rId3"/>
    <sheet name="BD_CITA" sheetId="30" r:id="rId4"/>
  </sheets>
  <definedNames>
    <definedName name="_xlnm._FilterDatabase" localSheetId="3" hidden="1">BD_CITA!$F$7:$O$4999</definedName>
    <definedName name="_xlnm.Print_Area" localSheetId="0">MESES!$A$1:$H$14</definedName>
    <definedName name="CalendarYear">MESES!$K$2</definedName>
    <definedName name="ColumnTitleRegion1..H12.1">MESES!$B$2</definedName>
    <definedName name="ColumnTitleRegion1..H12.10">#REF!</definedName>
    <definedName name="ColumnTitleRegion1..H12.11">#REF!</definedName>
    <definedName name="ColumnTitleRegion1..H12.12" localSheetId="1">CITAS!$B$2</definedName>
    <definedName name="ColumnTitleRegion1..H12.12">#REF!</definedName>
    <definedName name="ColumnTitleRegion1..H12.2">#REF!</definedName>
    <definedName name="ColumnTitleRegion1..H12.3">#REF!</definedName>
    <definedName name="ColumnTitleRegion1..H12.4">#REF!</definedName>
    <definedName name="ColumnTitleRegion1..H12.5">#REF!</definedName>
    <definedName name="ColumnTitleRegion1..H12.6">#REF!</definedName>
    <definedName name="ColumnTitleRegion1..H12.7">#REF!</definedName>
    <definedName name="ColumnTitleRegion1..H12.8">#REF!</definedName>
    <definedName name="ColumnTitleRegion1..H12.9">#REF!</definedName>
    <definedName name="ColumnTitleRegion2..C14.1">MESES!$B$2</definedName>
    <definedName name="ColumnTitleRegion2..C14.10">#REF!</definedName>
    <definedName name="ColumnTitleRegion2..C14.11">#REF!</definedName>
    <definedName name="ColumnTitleRegion2..C14.12" localSheetId="1">CITAS!$B$2</definedName>
    <definedName name="ColumnTitleRegion2..C14.12">#REF!</definedName>
    <definedName name="ColumnTitleRegion2..C14.2">#REF!</definedName>
    <definedName name="ColumnTitleRegion2..C14.3">#REF!</definedName>
    <definedName name="ColumnTitleRegion2..C14.4">#REF!</definedName>
    <definedName name="ColumnTitleRegion2..C14.5">#REF!</definedName>
    <definedName name="ColumnTitleRegion2..C14.6">#REF!</definedName>
    <definedName name="ColumnTitleRegion2..C14.7">#REF!</definedName>
    <definedName name="ColumnTitleRegion2..C14.8">#REF!</definedName>
    <definedName name="ColumnTitleRegion2..C14.9">#REF!</definedName>
    <definedName name="_xlnm.Criteria" localSheetId="3">BD_CITA!$AG$1:$AP$2</definedName>
    <definedName name="DaysAndWeeks">{0,1,2,3,4,5,6} + {0;1;2;3;4;5}*7</definedName>
    <definedName name="MESES">CITAS!$C$53:$C$64</definedName>
    <definedName name="WeekStart">MESES!$K$3</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O3" i="29" l="1"/>
  <c r="N3" i="29"/>
  <c r="M3" i="29"/>
  <c r="J17" i="29"/>
  <c r="AB2" i="29" l="1"/>
  <c r="N1" i="29"/>
  <c r="R2" i="29" l="1"/>
  <c r="B26" i="29"/>
  <c r="G20" i="29"/>
  <c r="G17" i="29"/>
  <c r="B17" i="29"/>
  <c r="F11" i="29"/>
  <c r="I10" i="29"/>
  <c r="F16" i="29"/>
  <c r="I16" i="29"/>
  <c r="I19" i="29"/>
  <c r="I25" i="29"/>
  <c r="Z2" i="29"/>
  <c r="Y2" i="29"/>
  <c r="X2" i="29"/>
  <c r="W2" i="29"/>
  <c r="U2" i="29"/>
  <c r="V2" i="29"/>
  <c r="T2" i="29"/>
  <c r="I1" i="29"/>
  <c r="M1" i="29" s="1"/>
  <c r="S2" i="29" s="1"/>
  <c r="B12" i="29" l="1"/>
  <c r="A11" i="29" s="1"/>
  <c r="E10" i="29"/>
  <c r="AA2" i="29"/>
  <c r="E3270" i="30" s="1"/>
  <c r="K1" i="26"/>
  <c r="E4891" i="30" l="1"/>
  <c r="E4553" i="30"/>
  <c r="E4402" i="30"/>
  <c r="E4955" i="30"/>
  <c r="E4864" i="30"/>
  <c r="E3415" i="30"/>
  <c r="E4437" i="30"/>
  <c r="E3898" i="30"/>
  <c r="E4549" i="30"/>
  <c r="E4071" i="30"/>
  <c r="E3180" i="30"/>
  <c r="E4466" i="30"/>
  <c r="E3687" i="30"/>
  <c r="E3414" i="30"/>
  <c r="E4263" i="30"/>
  <c r="E4563" i="30"/>
  <c r="E4627" i="30"/>
  <c r="E4489" i="30"/>
  <c r="E4416" i="30"/>
  <c r="E4617" i="30"/>
  <c r="E3535" i="30"/>
  <c r="E4825" i="30"/>
  <c r="E4578" i="30"/>
  <c r="E3991" i="30"/>
  <c r="E3310" i="30"/>
  <c r="E4313" i="30"/>
  <c r="E3727" i="30"/>
  <c r="E4889" i="30"/>
  <c r="E4095" i="30"/>
  <c r="E4580" i="30"/>
  <c r="E2985" i="30"/>
  <c r="E4153" i="30"/>
  <c r="E4953" i="30"/>
  <c r="E4240" i="30"/>
  <c r="E3027" i="30"/>
  <c r="E4673" i="30"/>
  <c r="E4135" i="30"/>
  <c r="E4651" i="30"/>
  <c r="E3938" i="30"/>
  <c r="E4361" i="30"/>
  <c r="E4681" i="30"/>
  <c r="E4554" i="30"/>
  <c r="E4225" i="30"/>
  <c r="E4730" i="30"/>
  <c r="E4331" i="30"/>
  <c r="E4691" i="30"/>
  <c r="E4540" i="30"/>
  <c r="E4161" i="30"/>
  <c r="E3823" i="30"/>
  <c r="E4645" i="30"/>
  <c r="E4166" i="30"/>
  <c r="E4165" i="30"/>
  <c r="E3983" i="30"/>
  <c r="E4409" i="30"/>
  <c r="E4737" i="30"/>
  <c r="E4642" i="30"/>
  <c r="E4264" i="30"/>
  <c r="E3295" i="30"/>
  <c r="E4379" i="30"/>
  <c r="E4715" i="30"/>
  <c r="E4644" i="30"/>
  <c r="E4255" i="30"/>
  <c r="E3993" i="30"/>
  <c r="E4765" i="30"/>
  <c r="E3870" i="30"/>
  <c r="E4029" i="30"/>
  <c r="E3897" i="30"/>
  <c r="E4353" i="30"/>
  <c r="E4482" i="30"/>
  <c r="E4698" i="30"/>
  <c r="E4315" i="30"/>
  <c r="E4516" i="30"/>
  <c r="E4119" i="30"/>
  <c r="E3311" i="30"/>
  <c r="E4629" i="30"/>
  <c r="E4222" i="30"/>
  <c r="E3129" i="30"/>
  <c r="E2977" i="30"/>
  <c r="E4111" i="30"/>
  <c r="E4441" i="30"/>
  <c r="E4801" i="30"/>
  <c r="E2285" i="30"/>
  <c r="E4354" i="30"/>
  <c r="E3807" i="30"/>
  <c r="E4443" i="30"/>
  <c r="E4779" i="30"/>
  <c r="E2480" i="30"/>
  <c r="E4348" i="30"/>
  <c r="E4231" i="30"/>
  <c r="E4893" i="30"/>
  <c r="E3742" i="30"/>
  <c r="E3469" i="30"/>
  <c r="E3922" i="30"/>
  <c r="E4499" i="30"/>
  <c r="E4827" i="30"/>
  <c r="E3116" i="30"/>
  <c r="E4436" i="30"/>
  <c r="E4349" i="30"/>
  <c r="E4941" i="30"/>
  <c r="E3734" i="30"/>
  <c r="E2259" i="30"/>
  <c r="E3343" i="30"/>
  <c r="E4175" i="30"/>
  <c r="E4505" i="30"/>
  <c r="E4865" i="30"/>
  <c r="E3479" i="30"/>
  <c r="E4418" i="30"/>
  <c r="E4031" i="30"/>
  <c r="E4507" i="30"/>
  <c r="E4843" i="30"/>
  <c r="E3495" i="30"/>
  <c r="E4460" i="30"/>
  <c r="E4365" i="30"/>
  <c r="E3978" i="30"/>
  <c r="E3566" i="30"/>
  <c r="E3300" i="30"/>
  <c r="E3949" i="30"/>
  <c r="E2129" i="30"/>
  <c r="E4123" i="30"/>
  <c r="E3407" i="30"/>
  <c r="E3961" i="30"/>
  <c r="E4210" i="30"/>
  <c r="E4377" i="30"/>
  <c r="E4545" i="30"/>
  <c r="E4697" i="30"/>
  <c r="E4873" i="30"/>
  <c r="E4626" i="30"/>
  <c r="E3607" i="30"/>
  <c r="E4239" i="30"/>
  <c r="E4458" i="30"/>
  <c r="E2387" i="30"/>
  <c r="E4050" i="30"/>
  <c r="E4371" i="30"/>
  <c r="E4523" i="30"/>
  <c r="E4699" i="30"/>
  <c r="E4883" i="30"/>
  <c r="E4572" i="30"/>
  <c r="E3559" i="30"/>
  <c r="E4241" i="30"/>
  <c r="E4476" i="30"/>
  <c r="E3906" i="30"/>
  <c r="E4429" i="30"/>
  <c r="E4677" i="30"/>
  <c r="E4193" i="30"/>
  <c r="E4062" i="30"/>
  <c r="E3670" i="30"/>
  <c r="E3104" i="30"/>
  <c r="E3789" i="30"/>
  <c r="E4188" i="30"/>
  <c r="E4059" i="30"/>
  <c r="E3812" i="30"/>
  <c r="E3599" i="30"/>
  <c r="E4002" i="30"/>
  <c r="E4274" i="30"/>
  <c r="E4417" i="30"/>
  <c r="E4569" i="30"/>
  <c r="E4745" i="30"/>
  <c r="E4929" i="30"/>
  <c r="E4674" i="30"/>
  <c r="E3921" i="30"/>
  <c r="E4322" i="30"/>
  <c r="E4490" i="30"/>
  <c r="E3359" i="30"/>
  <c r="E4200" i="30"/>
  <c r="E4395" i="30"/>
  <c r="E4571" i="30"/>
  <c r="E4755" i="30"/>
  <c r="E4907" i="30"/>
  <c r="E4660" i="30"/>
  <c r="E3927" i="30"/>
  <c r="E4280" i="30"/>
  <c r="E4596" i="30"/>
  <c r="E4162" i="30"/>
  <c r="E4477" i="30"/>
  <c r="E4773" i="30"/>
  <c r="E4736" i="30"/>
  <c r="E4014" i="30"/>
  <c r="E3550" i="30"/>
  <c r="E2536" i="30"/>
  <c r="E3725" i="30"/>
  <c r="E3724" i="30"/>
  <c r="E3475" i="30"/>
  <c r="E4054" i="30"/>
  <c r="E3026" i="30"/>
  <c r="E3765" i="30"/>
  <c r="E3603" i="30"/>
  <c r="E2800" i="30"/>
  <c r="E3663" i="30"/>
  <c r="E4047" i="30"/>
  <c r="E4288" i="30"/>
  <c r="E4425" i="30"/>
  <c r="E4609" i="30"/>
  <c r="E4761" i="30"/>
  <c r="E4937" i="30"/>
  <c r="E4770" i="30"/>
  <c r="E3962" i="30"/>
  <c r="E4330" i="30"/>
  <c r="E4562" i="30"/>
  <c r="E3487" i="30"/>
  <c r="E4215" i="30"/>
  <c r="E4435" i="30"/>
  <c r="E4587" i="30"/>
  <c r="E4763" i="30"/>
  <c r="E4947" i="30"/>
  <c r="E4692" i="30"/>
  <c r="E3946" i="30"/>
  <c r="E4332" i="30"/>
  <c r="E4684" i="30"/>
  <c r="E4185" i="30"/>
  <c r="E4541" i="30"/>
  <c r="E4805" i="30"/>
  <c r="E4760" i="30"/>
  <c r="E3910" i="30"/>
  <c r="E3526" i="30"/>
  <c r="E4205" i="30"/>
  <c r="E3557" i="30"/>
  <c r="E3612" i="30"/>
  <c r="E3578" i="30"/>
  <c r="E2221" i="30"/>
  <c r="E3080" i="30"/>
  <c r="E3855" i="30"/>
  <c r="E4130" i="30"/>
  <c r="E4345" i="30"/>
  <c r="E4481" i="30"/>
  <c r="E4633" i="30"/>
  <c r="E4809" i="30"/>
  <c r="E4338" i="30"/>
  <c r="E2988" i="30"/>
  <c r="E4090" i="30"/>
  <c r="E4394" i="30"/>
  <c r="E4610" i="30"/>
  <c r="E3871" i="30"/>
  <c r="E4304" i="30"/>
  <c r="E4459" i="30"/>
  <c r="E4635" i="30"/>
  <c r="E4819" i="30"/>
  <c r="E4971" i="30"/>
  <c r="E2913" i="30"/>
  <c r="E4097" i="30"/>
  <c r="E4372" i="30"/>
  <c r="E3130" i="30"/>
  <c r="E4325" i="30"/>
  <c r="E4565" i="30"/>
  <c r="E4925" i="30"/>
  <c r="E4246" i="30"/>
  <c r="E3846" i="30"/>
  <c r="E3374" i="30"/>
  <c r="E4037" i="30"/>
  <c r="E3277" i="30"/>
  <c r="E3292" i="30"/>
  <c r="E3279" i="30"/>
  <c r="E3791" i="30"/>
  <c r="E4025" i="30"/>
  <c r="E4194" i="30"/>
  <c r="E4301" i="30"/>
  <c r="E4369" i="30"/>
  <c r="E4433" i="30"/>
  <c r="E4497" i="30"/>
  <c r="E4561" i="30"/>
  <c r="E4625" i="30"/>
  <c r="E4689" i="30"/>
  <c r="E4753" i="30"/>
  <c r="E4817" i="30"/>
  <c r="E4881" i="30"/>
  <c r="E4945" i="30"/>
  <c r="E4530" i="30"/>
  <c r="E4658" i="30"/>
  <c r="E2864" i="30"/>
  <c r="E3543" i="30"/>
  <c r="E3943" i="30"/>
  <c r="E4113" i="30"/>
  <c r="E4250" i="30"/>
  <c r="E4346" i="30"/>
  <c r="E4410" i="30"/>
  <c r="E4474" i="30"/>
  <c r="E4594" i="30"/>
  <c r="E4754" i="30"/>
  <c r="E3423" i="30"/>
  <c r="E3903" i="30"/>
  <c r="E4073" i="30"/>
  <c r="E4226" i="30"/>
  <c r="E4323" i="30"/>
  <c r="E4387" i="30"/>
  <c r="E4451" i="30"/>
  <c r="E4515" i="30"/>
  <c r="E4579" i="30"/>
  <c r="E4643" i="30"/>
  <c r="E4707" i="30"/>
  <c r="E4771" i="30"/>
  <c r="E4835" i="30"/>
  <c r="E4899" i="30"/>
  <c r="E4963" i="30"/>
  <c r="E4556" i="30"/>
  <c r="E4676" i="30"/>
  <c r="E3016" i="30"/>
  <c r="E3623" i="30"/>
  <c r="E3969" i="30"/>
  <c r="E4138" i="30"/>
  <c r="E4266" i="30"/>
  <c r="E4356" i="30"/>
  <c r="E4468" i="30"/>
  <c r="E4636" i="30"/>
  <c r="E3233" i="30"/>
  <c r="E3970" i="30"/>
  <c r="E4202" i="30"/>
  <c r="E4357" i="30"/>
  <c r="E4453" i="30"/>
  <c r="E4557" i="30"/>
  <c r="E4669" i="30"/>
  <c r="E4789" i="30"/>
  <c r="E4933" i="30"/>
  <c r="E4298" i="30"/>
  <c r="E4832" i="30"/>
  <c r="E4182" i="30"/>
  <c r="E4038" i="30"/>
  <c r="E3862" i="30"/>
  <c r="E3710" i="30"/>
  <c r="E3542" i="30"/>
  <c r="E3334" i="30"/>
  <c r="E3090" i="30"/>
  <c r="E4181" i="30"/>
  <c r="E3989" i="30"/>
  <c r="E3733" i="30"/>
  <c r="E3381" i="30"/>
  <c r="E4236" i="30"/>
  <c r="E3716" i="30"/>
  <c r="E3163" i="30"/>
  <c r="E4051" i="30"/>
  <c r="E3347" i="30"/>
  <c r="E3849" i="30"/>
  <c r="E3947" i="30"/>
  <c r="E3137" i="30"/>
  <c r="E3329" i="30"/>
  <c r="E4224" i="30"/>
  <c r="E4385" i="30"/>
  <c r="E4449" i="30"/>
  <c r="E4513" i="30"/>
  <c r="E4577" i="30"/>
  <c r="E4641" i="30"/>
  <c r="E4705" i="30"/>
  <c r="E4769" i="30"/>
  <c r="E4833" i="30"/>
  <c r="E4897" i="30"/>
  <c r="E4961" i="30"/>
  <c r="E4570" i="30"/>
  <c r="E4690" i="30"/>
  <c r="E3091" i="30"/>
  <c r="E3671" i="30"/>
  <c r="E3985" i="30"/>
  <c r="E4154" i="30"/>
  <c r="E4277" i="30"/>
  <c r="E4362" i="30"/>
  <c r="E4426" i="30"/>
  <c r="E4498" i="30"/>
  <c r="E4634" i="30"/>
  <c r="E2898" i="30"/>
  <c r="E3551" i="30"/>
  <c r="E3945" i="30"/>
  <c r="E4114" i="30"/>
  <c r="E4253" i="30"/>
  <c r="E4339" i="30"/>
  <c r="E4403" i="30"/>
  <c r="E4467" i="30"/>
  <c r="E4531" i="30"/>
  <c r="E4595" i="30"/>
  <c r="E4659" i="30"/>
  <c r="E4723" i="30"/>
  <c r="E4787" i="30"/>
  <c r="E4851" i="30"/>
  <c r="E4915" i="30"/>
  <c r="E4979" i="30"/>
  <c r="E4588" i="30"/>
  <c r="E4708" i="30"/>
  <c r="E3219" i="30"/>
  <c r="E3751" i="30"/>
  <c r="E4010" i="30"/>
  <c r="E4183" i="30"/>
  <c r="E4293" i="30"/>
  <c r="E4396" i="30"/>
  <c r="E4492" i="30"/>
  <c r="E4700" i="30"/>
  <c r="E3439" i="30"/>
  <c r="E4015" i="30"/>
  <c r="E4269" i="30"/>
  <c r="E4373" i="30"/>
  <c r="E4485" i="30"/>
  <c r="E4581" i="30"/>
  <c r="E4685" i="30"/>
  <c r="E4837" i="30"/>
  <c r="E4957" i="30"/>
  <c r="E4472" i="30"/>
  <c r="E4984" i="30"/>
  <c r="E4158" i="30"/>
  <c r="E3974" i="30"/>
  <c r="E3838" i="30"/>
  <c r="E3654" i="30"/>
  <c r="E3502" i="30"/>
  <c r="E3294" i="30"/>
  <c r="E2962" i="30"/>
  <c r="E4157" i="30"/>
  <c r="E3925" i="30"/>
  <c r="E3669" i="30"/>
  <c r="E3267" i="30"/>
  <c r="E4036" i="30"/>
  <c r="E3604" i="30"/>
  <c r="E2712" i="30"/>
  <c r="E3923" i="30"/>
  <c r="E2931" i="30"/>
  <c r="E2968" i="30"/>
  <c r="E4066" i="30"/>
  <c r="E4321" i="30"/>
  <c r="E2173" i="30"/>
  <c r="E3471" i="30"/>
  <c r="E3919" i="30"/>
  <c r="E4089" i="30"/>
  <c r="E4237" i="30"/>
  <c r="E4329" i="30"/>
  <c r="E4393" i="30"/>
  <c r="E4457" i="30"/>
  <c r="E4521" i="30"/>
  <c r="E4585" i="30"/>
  <c r="E4649" i="30"/>
  <c r="E4713" i="30"/>
  <c r="E4777" i="30"/>
  <c r="E4841" i="30"/>
  <c r="E4905" i="30"/>
  <c r="E4969" i="30"/>
  <c r="E4586" i="30"/>
  <c r="E4706" i="30"/>
  <c r="E3194" i="30"/>
  <c r="E3735" i="30"/>
  <c r="E4007" i="30"/>
  <c r="E4177" i="30"/>
  <c r="E4289" i="30"/>
  <c r="E4370" i="30"/>
  <c r="E4434" i="30"/>
  <c r="E4522" i="30"/>
  <c r="E4650" i="30"/>
  <c r="E3002" i="30"/>
  <c r="E3615" i="30"/>
  <c r="E3967" i="30"/>
  <c r="E4137" i="30"/>
  <c r="E4265" i="30"/>
  <c r="E4347" i="30"/>
  <c r="E4411" i="30"/>
  <c r="E4475" i="30"/>
  <c r="E4539" i="30"/>
  <c r="E4603" i="30"/>
  <c r="E4667" i="30"/>
  <c r="E4731" i="30"/>
  <c r="E4795" i="30"/>
  <c r="E4859" i="30"/>
  <c r="E4923" i="30"/>
  <c r="E4987" i="30"/>
  <c r="E4604" i="30"/>
  <c r="E4724" i="30"/>
  <c r="E3303" i="30"/>
  <c r="E3815" i="30"/>
  <c r="E4033" i="30"/>
  <c r="E4201" i="30"/>
  <c r="E4305" i="30"/>
  <c r="E4404" i="30"/>
  <c r="E4508" i="30"/>
  <c r="E4716" i="30"/>
  <c r="E3631" i="30"/>
  <c r="E4034" i="30"/>
  <c r="E4281" i="30"/>
  <c r="E4389" i="30"/>
  <c r="E4493" i="30"/>
  <c r="E4605" i="30"/>
  <c r="E4701" i="30"/>
  <c r="E4853" i="30"/>
  <c r="E4981" i="30"/>
  <c r="E4496" i="30"/>
  <c r="E4286" i="30"/>
  <c r="E4142" i="30"/>
  <c r="E3966" i="30"/>
  <c r="E3806" i="30"/>
  <c r="E3646" i="30"/>
  <c r="E3462" i="30"/>
  <c r="E3286" i="30"/>
  <c r="E2923" i="30"/>
  <c r="E4117" i="30"/>
  <c r="E3909" i="30"/>
  <c r="E3621" i="30"/>
  <c r="E3242" i="30"/>
  <c r="E4004" i="30"/>
  <c r="E3524" i="30"/>
  <c r="E2451" i="30"/>
  <c r="E3731" i="30"/>
  <c r="E3778" i="30"/>
  <c r="E2624" i="30"/>
  <c r="E4249" i="30"/>
  <c r="E4337" i="30"/>
  <c r="E4401" i="30"/>
  <c r="E4465" i="30"/>
  <c r="E4529" i="30"/>
  <c r="E4593" i="30"/>
  <c r="E4657" i="30"/>
  <c r="E4721" i="30"/>
  <c r="E4785" i="30"/>
  <c r="E4849" i="30"/>
  <c r="E4913" i="30"/>
  <c r="E4977" i="30"/>
  <c r="E4602" i="30"/>
  <c r="E4738" i="30"/>
  <c r="E3287" i="30"/>
  <c r="E3799" i="30"/>
  <c r="E4026" i="30"/>
  <c r="E4199" i="30"/>
  <c r="E4303" i="30"/>
  <c r="E4378" i="30"/>
  <c r="E4442" i="30"/>
  <c r="E4538" i="30"/>
  <c r="E4666" i="30"/>
  <c r="E3105" i="30"/>
  <c r="E3679" i="30"/>
  <c r="E3986" i="30"/>
  <c r="E4159" i="30"/>
  <c r="E4279" i="30"/>
  <c r="E4355" i="30"/>
  <c r="E4419" i="30"/>
  <c r="E4483" i="30"/>
  <c r="E4547" i="30"/>
  <c r="E4611" i="30"/>
  <c r="E4675" i="30"/>
  <c r="E4739" i="30"/>
  <c r="E4803" i="30"/>
  <c r="E4867" i="30"/>
  <c r="E4931" i="30"/>
  <c r="E4340" i="30"/>
  <c r="E4612" i="30"/>
  <c r="E4740" i="30"/>
  <c r="E3367" i="30"/>
  <c r="E3879" i="30"/>
  <c r="E4055" i="30"/>
  <c r="E4216" i="30"/>
  <c r="E4316" i="30"/>
  <c r="E4412" i="30"/>
  <c r="E4548" i="30"/>
  <c r="E4732" i="30"/>
  <c r="E3695" i="30"/>
  <c r="E4079" i="30"/>
  <c r="E4295" i="30"/>
  <c r="E4413" i="30"/>
  <c r="E4501" i="30"/>
  <c r="E4613" i="30"/>
  <c r="E4725" i="30"/>
  <c r="E4861" i="30"/>
  <c r="E3335" i="30"/>
  <c r="E4520" i="30"/>
  <c r="E4270" i="30"/>
  <c r="E4118" i="30"/>
  <c r="E3950" i="30"/>
  <c r="E3774" i="30"/>
  <c r="E3630" i="30"/>
  <c r="E3438" i="30"/>
  <c r="E3232" i="30"/>
  <c r="E2896" i="30"/>
  <c r="E4077" i="30"/>
  <c r="E3901" i="30"/>
  <c r="E3589" i="30"/>
  <c r="E3089" i="30"/>
  <c r="E3988" i="30"/>
  <c r="E3404" i="30"/>
  <c r="E2248" i="30"/>
  <c r="E3699" i="30"/>
  <c r="E3738" i="30"/>
  <c r="E2209" i="30"/>
  <c r="E4473" i="30"/>
  <c r="E4537" i="30"/>
  <c r="E4601" i="30"/>
  <c r="E4665" i="30"/>
  <c r="E4729" i="30"/>
  <c r="E4793" i="30"/>
  <c r="E4857" i="30"/>
  <c r="E4921" i="30"/>
  <c r="E4985" i="30"/>
  <c r="E4618" i="30"/>
  <c r="E4746" i="30"/>
  <c r="E3351" i="30"/>
  <c r="E3863" i="30"/>
  <c r="E4049" i="30"/>
  <c r="E4213" i="30"/>
  <c r="E4314" i="30"/>
  <c r="E4386" i="30"/>
  <c r="E4450" i="30"/>
  <c r="E4546" i="30"/>
  <c r="E4682" i="30"/>
  <c r="E3208" i="30"/>
  <c r="E3743" i="30"/>
  <c r="E4009" i="30"/>
  <c r="E4178" i="30"/>
  <c r="E4290" i="30"/>
  <c r="E4363" i="30"/>
  <c r="E4427" i="30"/>
  <c r="E4491" i="30"/>
  <c r="E4555" i="30"/>
  <c r="E4619" i="30"/>
  <c r="E4683" i="30"/>
  <c r="E4747" i="30"/>
  <c r="E4811" i="30"/>
  <c r="E4875" i="30"/>
  <c r="E4939" i="30"/>
  <c r="E4484" i="30"/>
  <c r="E4628" i="30"/>
  <c r="E4756" i="30"/>
  <c r="E3431" i="30"/>
  <c r="E3905" i="30"/>
  <c r="E4074" i="30"/>
  <c r="E4229" i="30"/>
  <c r="E4324" i="30"/>
  <c r="E4420" i="30"/>
  <c r="E4564" i="30"/>
  <c r="E4764" i="30"/>
  <c r="E3759" i="30"/>
  <c r="E4143" i="30"/>
  <c r="E4306" i="30"/>
  <c r="E4421" i="30"/>
  <c r="E4517" i="30"/>
  <c r="E4621" i="30"/>
  <c r="E4749" i="30"/>
  <c r="E4869" i="30"/>
  <c r="E3847" i="30"/>
  <c r="E4616" i="30"/>
  <c r="E4254" i="30"/>
  <c r="E4078" i="30"/>
  <c r="E3934" i="30"/>
  <c r="E3758" i="30"/>
  <c r="E3606" i="30"/>
  <c r="E3422" i="30"/>
  <c r="E3168" i="30"/>
  <c r="E2856" i="30"/>
  <c r="E4053" i="30"/>
  <c r="E3845" i="30"/>
  <c r="E3573" i="30"/>
  <c r="E2848" i="30"/>
  <c r="E3924" i="30"/>
  <c r="E3364" i="30"/>
  <c r="E4251" i="30"/>
  <c r="E3675" i="30"/>
  <c r="E3618" i="30"/>
  <c r="E3315" i="30"/>
  <c r="E3097" i="30"/>
  <c r="E3230" i="30"/>
  <c r="E3187" i="30"/>
  <c r="E2696" i="30"/>
  <c r="E4364" i="30"/>
  <c r="E4428" i="30"/>
  <c r="E4500" i="30"/>
  <c r="E4620" i="30"/>
  <c r="E4748" i="30"/>
  <c r="E3375" i="30"/>
  <c r="E3887" i="30"/>
  <c r="E4057" i="30"/>
  <c r="E4217" i="30"/>
  <c r="E4317" i="30"/>
  <c r="E4381" i="30"/>
  <c r="E4445" i="30"/>
  <c r="E4509" i="30"/>
  <c r="E4573" i="30"/>
  <c r="E4637" i="30"/>
  <c r="E4709" i="30"/>
  <c r="E4797" i="30"/>
  <c r="E4877" i="30"/>
  <c r="E4965" i="30"/>
  <c r="E4261" i="30"/>
  <c r="E4552" i="30"/>
  <c r="E4936" i="30"/>
  <c r="E4230" i="30"/>
  <c r="E4126" i="30"/>
  <c r="E4030" i="30"/>
  <c r="E3926" i="30"/>
  <c r="E3822" i="30"/>
  <c r="E3718" i="30"/>
  <c r="E3614" i="30"/>
  <c r="E3518" i="30"/>
  <c r="E3398" i="30"/>
  <c r="E3268" i="30"/>
  <c r="E3065" i="30"/>
  <c r="E2728" i="30"/>
  <c r="E4141" i="30"/>
  <c r="E4013" i="30"/>
  <c r="E3877" i="30"/>
  <c r="E3709" i="30"/>
  <c r="E3477" i="30"/>
  <c r="E3139" i="30"/>
  <c r="E4228" i="30"/>
  <c r="E3916" i="30"/>
  <c r="E3588" i="30"/>
  <c r="E3177" i="30"/>
  <c r="E4259" i="30"/>
  <c r="E3939" i="30"/>
  <c r="E3571" i="30"/>
  <c r="E3084" i="30"/>
  <c r="E3418" i="30"/>
  <c r="E3745" i="30"/>
  <c r="E4048" i="30"/>
  <c r="E3362" i="30"/>
  <c r="E3529" i="30"/>
  <c r="E3520" i="30"/>
  <c r="E4380" i="30"/>
  <c r="E4444" i="30"/>
  <c r="E4524" i="30"/>
  <c r="E4652" i="30"/>
  <c r="E2544" i="30"/>
  <c r="E3503" i="30"/>
  <c r="E3929" i="30"/>
  <c r="E4098" i="30"/>
  <c r="E4242" i="30"/>
  <c r="E4333" i="30"/>
  <c r="E4397" i="30"/>
  <c r="E4461" i="30"/>
  <c r="E4525" i="30"/>
  <c r="E4589" i="30"/>
  <c r="E4653" i="30"/>
  <c r="E4733" i="30"/>
  <c r="E4813" i="30"/>
  <c r="E4901" i="30"/>
  <c r="E4989" i="30"/>
  <c r="E4328" i="30"/>
  <c r="E4640" i="30"/>
  <c r="E4310" i="30"/>
  <c r="E4206" i="30"/>
  <c r="E4102" i="30"/>
  <c r="E3998" i="30"/>
  <c r="E3902" i="30"/>
  <c r="E3798" i="30"/>
  <c r="E3694" i="30"/>
  <c r="E3590" i="30"/>
  <c r="E3486" i="30"/>
  <c r="E3358" i="30"/>
  <c r="E3204" i="30"/>
  <c r="E3001" i="30"/>
  <c r="E2376" i="30"/>
  <c r="E4101" i="30"/>
  <c r="E3973" i="30"/>
  <c r="E3829" i="30"/>
  <c r="E3653" i="30"/>
  <c r="E3453" i="30"/>
  <c r="E2961" i="30"/>
  <c r="E4124" i="30"/>
  <c r="E3804" i="30"/>
  <c r="E3492" i="30"/>
  <c r="E3099" i="30"/>
  <c r="E4147" i="30"/>
  <c r="E3859" i="30"/>
  <c r="E3443" i="30"/>
  <c r="E2768" i="30"/>
  <c r="E3330" i="30"/>
  <c r="E3489" i="30"/>
  <c r="E3056" i="30"/>
  <c r="E4388" i="30"/>
  <c r="E4452" i="30"/>
  <c r="E4532" i="30"/>
  <c r="E4668" i="30"/>
  <c r="E2924" i="30"/>
  <c r="E3567" i="30"/>
  <c r="E3951" i="30"/>
  <c r="E4121" i="30"/>
  <c r="E4256" i="30"/>
  <c r="E4341" i="30"/>
  <c r="E4405" i="30"/>
  <c r="E4469" i="30"/>
  <c r="E4533" i="30"/>
  <c r="E4597" i="30"/>
  <c r="E4661" i="30"/>
  <c r="E4741" i="30"/>
  <c r="E4829" i="30"/>
  <c r="E4917" i="30"/>
  <c r="E3066" i="30"/>
  <c r="E4392" i="30"/>
  <c r="E4688" i="30"/>
  <c r="E4294" i="30"/>
  <c r="E4190" i="30"/>
  <c r="E4094" i="30"/>
  <c r="E3990" i="30"/>
  <c r="E3886" i="30"/>
  <c r="E3782" i="30"/>
  <c r="E3678" i="30"/>
  <c r="E3582" i="30"/>
  <c r="E3478" i="30"/>
  <c r="E3350" i="30"/>
  <c r="E3193" i="30"/>
  <c r="E2987" i="30"/>
  <c r="E2273" i="30"/>
  <c r="E4093" i="30"/>
  <c r="E3965" i="30"/>
  <c r="E3813" i="30"/>
  <c r="E3645" i="30"/>
  <c r="E3389" i="30"/>
  <c r="E2947" i="30"/>
  <c r="E4116" i="30"/>
  <c r="E3788" i="30"/>
  <c r="E3412" i="30"/>
  <c r="E2996" i="30"/>
  <c r="E4139" i="30"/>
  <c r="E3827" i="30"/>
  <c r="E3419" i="30"/>
  <c r="E3826" i="30"/>
  <c r="E3186" i="30"/>
  <c r="E3449" i="30"/>
  <c r="E3079" i="30"/>
  <c r="E3405" i="30"/>
  <c r="E3164" i="30"/>
  <c r="E2656" i="30"/>
  <c r="E4164" i="30"/>
  <c r="E3940" i="30"/>
  <c r="E3740" i="30"/>
  <c r="E3540" i="30"/>
  <c r="E3340" i="30"/>
  <c r="E3060" i="30"/>
  <c r="E4275" i="30"/>
  <c r="E4075" i="30"/>
  <c r="E3875" i="30"/>
  <c r="E3619" i="30"/>
  <c r="E3363" i="30"/>
  <c r="E2970" i="30"/>
  <c r="E3650" i="30"/>
  <c r="E3211" i="30"/>
  <c r="E3769" i="30"/>
  <c r="E3361" i="30"/>
  <c r="E4080" i="30"/>
  <c r="E2607" i="30"/>
  <c r="E3689" i="30"/>
  <c r="E3273" i="30"/>
  <c r="E3984" i="30"/>
  <c r="E2886" i="30"/>
  <c r="E3533" i="30"/>
  <c r="E3341" i="30"/>
  <c r="E3064" i="30"/>
  <c r="E4300" i="30"/>
  <c r="E4100" i="30"/>
  <c r="E3876" i="30"/>
  <c r="E3676" i="30"/>
  <c r="E3476" i="30"/>
  <c r="E3276" i="30"/>
  <c r="E2960" i="30"/>
  <c r="E4211" i="30"/>
  <c r="E4011" i="30"/>
  <c r="E3803" i="30"/>
  <c r="E3547" i="30"/>
  <c r="E3291" i="30"/>
  <c r="E2512" i="30"/>
  <c r="E3538" i="30"/>
  <c r="E3044" i="30"/>
  <c r="E3649" i="30"/>
  <c r="E3196" i="30"/>
  <c r="E3904" i="30"/>
  <c r="E2333" i="30"/>
  <c r="E3509" i="30"/>
  <c r="E3317" i="30"/>
  <c r="E2986" i="30"/>
  <c r="E4252" i="30"/>
  <c r="E4052" i="30"/>
  <c r="E3852" i="30"/>
  <c r="E3652" i="30"/>
  <c r="E3428" i="30"/>
  <c r="E3202" i="30"/>
  <c r="E2840" i="30"/>
  <c r="E4187" i="30"/>
  <c r="E3987" i="30"/>
  <c r="E3747" i="30"/>
  <c r="E3491" i="30"/>
  <c r="E3212" i="30"/>
  <c r="E3842" i="30"/>
  <c r="E3450" i="30"/>
  <c r="E2884" i="30"/>
  <c r="E3561" i="30"/>
  <c r="E2993" i="30"/>
  <c r="E3632" i="30"/>
  <c r="E2541" i="30"/>
  <c r="E4693" i="30"/>
  <c r="E4757" i="30"/>
  <c r="E4821" i="30"/>
  <c r="E4885" i="30"/>
  <c r="E4949" i="30"/>
  <c r="E3655" i="30"/>
  <c r="E4360" i="30"/>
  <c r="E4584" i="30"/>
  <c r="E4800" i="30"/>
  <c r="E4302" i="30"/>
  <c r="E4238" i="30"/>
  <c r="E4174" i="30"/>
  <c r="E4110" i="30"/>
  <c r="E4046" i="30"/>
  <c r="E3982" i="30"/>
  <c r="E3918" i="30"/>
  <c r="E3854" i="30"/>
  <c r="E3790" i="30"/>
  <c r="E3726" i="30"/>
  <c r="E3662" i="30"/>
  <c r="E3598" i="30"/>
  <c r="E3534" i="30"/>
  <c r="E3470" i="30"/>
  <c r="E3406" i="30"/>
  <c r="E3342" i="30"/>
  <c r="E3278" i="30"/>
  <c r="E3179" i="30"/>
  <c r="E3076" i="30"/>
  <c r="E2976" i="30"/>
  <c r="E2792" i="30"/>
  <c r="E2152" i="30"/>
  <c r="E4149" i="30"/>
  <c r="E4085" i="30"/>
  <c r="E4021" i="30"/>
  <c r="E3957" i="30"/>
  <c r="E3893" i="30"/>
  <c r="E3797" i="30"/>
  <c r="E3717" i="30"/>
  <c r="E3637" i="30"/>
  <c r="E3541" i="30"/>
  <c r="E3461" i="30"/>
  <c r="E3349" i="30"/>
  <c r="E3256" i="30"/>
  <c r="E3075" i="30"/>
  <c r="E2936" i="30"/>
  <c r="E4308" i="30"/>
  <c r="E4196" i="30"/>
  <c r="E4108" i="30"/>
  <c r="E3996" i="30"/>
  <c r="E3908" i="30"/>
  <c r="E3796" i="30"/>
  <c r="E3684" i="30"/>
  <c r="E3596" i="30"/>
  <c r="E3484" i="30"/>
  <c r="E3396" i="30"/>
  <c r="E3284" i="30"/>
  <c r="E3113" i="30"/>
  <c r="E2971" i="30"/>
  <c r="E2349" i="30"/>
  <c r="E4243" i="30"/>
  <c r="E4131" i="30"/>
  <c r="E4019" i="30"/>
  <c r="E3931" i="30"/>
  <c r="E3811" i="30"/>
  <c r="E3683" i="30"/>
  <c r="E3555" i="30"/>
  <c r="E3427" i="30"/>
  <c r="E3299" i="30"/>
  <c r="E3098" i="30"/>
  <c r="E2576" i="30"/>
  <c r="E3746" i="30"/>
  <c r="E3546" i="30"/>
  <c r="E3346" i="30"/>
  <c r="E3058" i="30"/>
  <c r="E3873" i="30"/>
  <c r="E3657" i="30"/>
  <c r="E3457" i="30"/>
  <c r="E3235" i="30"/>
  <c r="E2312" i="30"/>
  <c r="E3952" i="30"/>
  <c r="E3028" i="30"/>
  <c r="E2846" i="30"/>
  <c r="E3454" i="30"/>
  <c r="E3390" i="30"/>
  <c r="E3326" i="30"/>
  <c r="E3257" i="30"/>
  <c r="E3154" i="30"/>
  <c r="E3051" i="30"/>
  <c r="E2948" i="30"/>
  <c r="E2664" i="30"/>
  <c r="E4197" i="30"/>
  <c r="E4133" i="30"/>
  <c r="E4069" i="30"/>
  <c r="E4005" i="30"/>
  <c r="E3941" i="30"/>
  <c r="E3861" i="30"/>
  <c r="E3781" i="30"/>
  <c r="E3701" i="30"/>
  <c r="E3605" i="30"/>
  <c r="E3525" i="30"/>
  <c r="E3445" i="30"/>
  <c r="E3333" i="30"/>
  <c r="E3192" i="30"/>
  <c r="E3050" i="30"/>
  <c r="E2784" i="30"/>
  <c r="E4292" i="30"/>
  <c r="E4180" i="30"/>
  <c r="E4068" i="30"/>
  <c r="E3980" i="30"/>
  <c r="E3868" i="30"/>
  <c r="E3780" i="30"/>
  <c r="E3668" i="30"/>
  <c r="E3556" i="30"/>
  <c r="E3468" i="30"/>
  <c r="E3356" i="30"/>
  <c r="E3266" i="30"/>
  <c r="E3088" i="30"/>
  <c r="E2907" i="30"/>
  <c r="E2072" i="30"/>
  <c r="E4203" i="30"/>
  <c r="E4115" i="30"/>
  <c r="E4003" i="30"/>
  <c r="E3891" i="30"/>
  <c r="E3795" i="30"/>
  <c r="E3667" i="30"/>
  <c r="E3539" i="30"/>
  <c r="E3411" i="30"/>
  <c r="E3283" i="30"/>
  <c r="E3073" i="30"/>
  <c r="E2337" i="30"/>
  <c r="E3730" i="30"/>
  <c r="E3522" i="30"/>
  <c r="E3322" i="30"/>
  <c r="E3008" i="30"/>
  <c r="E3841" i="30"/>
  <c r="E3641" i="30"/>
  <c r="E3433" i="30"/>
  <c r="E3185" i="30"/>
  <c r="E4176" i="30"/>
  <c r="E3888" i="30"/>
  <c r="E2991" i="30"/>
  <c r="E2321" i="30"/>
  <c r="E4717" i="30"/>
  <c r="E4781" i="30"/>
  <c r="E4845" i="30"/>
  <c r="E4909" i="30"/>
  <c r="E4973" i="30"/>
  <c r="E4087" i="30"/>
  <c r="E4448" i="30"/>
  <c r="E4664" i="30"/>
  <c r="E4896" i="30"/>
  <c r="E4278" i="30"/>
  <c r="E4214" i="30"/>
  <c r="E4150" i="30"/>
  <c r="E4086" i="30"/>
  <c r="E4022" i="30"/>
  <c r="E3958" i="30"/>
  <c r="E3894" i="30"/>
  <c r="E3830" i="30"/>
  <c r="E3766" i="30"/>
  <c r="E3702" i="30"/>
  <c r="E3638" i="30"/>
  <c r="E3574" i="30"/>
  <c r="E3510" i="30"/>
  <c r="E3446" i="30"/>
  <c r="E3382" i="30"/>
  <c r="E3318" i="30"/>
  <c r="E3243" i="30"/>
  <c r="E3140" i="30"/>
  <c r="E3040" i="30"/>
  <c r="E2937" i="30"/>
  <c r="E2600" i="30"/>
  <c r="E4189" i="30"/>
  <c r="E4125" i="30"/>
  <c r="E4061" i="30"/>
  <c r="E3997" i="30"/>
  <c r="E3933" i="30"/>
  <c r="E3853" i="30"/>
  <c r="E3773" i="30"/>
  <c r="E3685" i="30"/>
  <c r="E3597" i="30"/>
  <c r="E3517" i="30"/>
  <c r="E3413" i="30"/>
  <c r="E3325" i="30"/>
  <c r="E3178" i="30"/>
  <c r="E3036" i="30"/>
  <c r="E2720" i="30"/>
  <c r="E4260" i="30"/>
  <c r="E4172" i="30"/>
  <c r="E4060" i="30"/>
  <c r="E3972" i="30"/>
  <c r="E3860" i="30"/>
  <c r="E3748" i="30"/>
  <c r="E3660" i="30"/>
  <c r="E3548" i="30"/>
  <c r="E3460" i="30"/>
  <c r="E3348" i="30"/>
  <c r="E3216" i="30"/>
  <c r="E3074" i="30"/>
  <c r="E2890" i="30"/>
  <c r="E4307" i="30"/>
  <c r="E4195" i="30"/>
  <c r="E4083" i="30"/>
  <c r="E3995" i="30"/>
  <c r="E3883" i="30"/>
  <c r="E3763" i="30"/>
  <c r="E3635" i="30"/>
  <c r="E3507" i="30"/>
  <c r="E3379" i="30"/>
  <c r="E3240" i="30"/>
  <c r="E2995" i="30"/>
  <c r="E3866" i="30"/>
  <c r="E3674" i="30"/>
  <c r="E3474" i="30"/>
  <c r="E3264" i="30"/>
  <c r="E2944" i="30"/>
  <c r="E3785" i="30"/>
  <c r="E3585" i="30"/>
  <c r="E3385" i="30"/>
  <c r="E3068" i="30"/>
  <c r="E4120" i="30"/>
  <c r="E3688" i="30"/>
  <c r="E2679" i="30"/>
  <c r="E2621" i="30"/>
  <c r="E4712" i="30"/>
  <c r="E4960" i="30"/>
  <c r="E4262" i="30"/>
  <c r="E4198" i="30"/>
  <c r="E4134" i="30"/>
  <c r="E4070" i="30"/>
  <c r="E4006" i="30"/>
  <c r="E3942" i="30"/>
  <c r="E3878" i="30"/>
  <c r="E3814" i="30"/>
  <c r="E3750" i="30"/>
  <c r="E3686" i="30"/>
  <c r="E3622" i="30"/>
  <c r="E3558" i="30"/>
  <c r="E3494" i="30"/>
  <c r="E3430" i="30"/>
  <c r="E3366" i="30"/>
  <c r="E3302" i="30"/>
  <c r="E3218" i="30"/>
  <c r="E3115" i="30"/>
  <c r="E3012" i="30"/>
  <c r="E2912" i="30"/>
  <c r="E2472" i="30"/>
  <c r="E4173" i="30"/>
  <c r="E4109" i="30"/>
  <c r="E4045" i="30"/>
  <c r="E3981" i="30"/>
  <c r="E3917" i="30"/>
  <c r="E3837" i="30"/>
  <c r="E3749" i="30"/>
  <c r="E3661" i="30"/>
  <c r="E3581" i="30"/>
  <c r="E3493" i="30"/>
  <c r="E3397" i="30"/>
  <c r="E3285" i="30"/>
  <c r="E3153" i="30"/>
  <c r="E2972" i="30"/>
  <c r="E2592" i="30"/>
  <c r="E4244" i="30"/>
  <c r="E4132" i="30"/>
  <c r="E4044" i="30"/>
  <c r="E3932" i="30"/>
  <c r="E3844" i="30"/>
  <c r="E3732" i="30"/>
  <c r="E3620" i="30"/>
  <c r="E3532" i="30"/>
  <c r="E3420" i="30"/>
  <c r="E3332" i="30"/>
  <c r="E3188" i="30"/>
  <c r="E3010" i="30"/>
  <c r="E2776" i="30"/>
  <c r="E4267" i="30"/>
  <c r="E4179" i="30"/>
  <c r="E4067" i="30"/>
  <c r="E3955" i="30"/>
  <c r="E3867" i="30"/>
  <c r="E3739" i="30"/>
  <c r="E3611" i="30"/>
  <c r="E3483" i="30"/>
  <c r="E3355" i="30"/>
  <c r="E3201" i="30"/>
  <c r="E2945" i="30"/>
  <c r="E3834" i="30"/>
  <c r="E3642" i="30"/>
  <c r="E3426" i="30"/>
  <c r="E3200" i="30"/>
  <c r="E2824" i="30"/>
  <c r="E3753" i="30"/>
  <c r="E3553" i="30"/>
  <c r="E3337" i="30"/>
  <c r="E2979" i="30"/>
  <c r="E4072" i="30"/>
  <c r="E3560" i="30"/>
  <c r="E4742" i="30"/>
  <c r="E2669" i="30"/>
  <c r="E2424" i="30"/>
  <c r="E2958" i="30"/>
  <c r="E2219" i="30"/>
  <c r="E2695" i="30"/>
  <c r="E3119" i="30"/>
  <c r="E3120" i="30"/>
  <c r="E2403" i="30"/>
  <c r="E3077" i="30"/>
  <c r="E2566" i="30"/>
  <c r="E2974" i="30"/>
  <c r="E2283" i="30"/>
  <c r="E2735" i="30"/>
  <c r="E3191" i="30"/>
  <c r="E3259" i="30"/>
  <c r="E3648" i="30"/>
  <c r="E3960" i="30"/>
  <c r="E4088" i="30"/>
  <c r="E2560" i="30"/>
  <c r="E3043" i="30"/>
  <c r="E3249" i="30"/>
  <c r="E3369" i="30"/>
  <c r="E3465" i="30"/>
  <c r="E3577" i="30"/>
  <c r="E3681" i="30"/>
  <c r="E3777" i="30"/>
  <c r="E3881" i="30"/>
  <c r="E2905" i="30"/>
  <c r="E3083" i="30"/>
  <c r="E3250" i="30"/>
  <c r="E3354" i="30"/>
  <c r="E3458" i="30"/>
  <c r="E3554" i="30"/>
  <c r="E3666" i="30"/>
  <c r="E3770" i="30"/>
  <c r="E3858" i="30"/>
  <c r="E2640" i="30"/>
  <c r="E2984" i="30"/>
  <c r="E3123" i="30"/>
  <c r="E3226" i="30"/>
  <c r="E3307" i="30"/>
  <c r="E3371" i="30"/>
  <c r="E3435" i="30"/>
  <c r="E3499" i="30"/>
  <c r="E3563" i="30"/>
  <c r="E3627" i="30"/>
  <c r="E3691" i="30"/>
  <c r="E3755" i="30"/>
  <c r="E3819" i="30"/>
  <c r="E2738" i="30"/>
  <c r="E3093" i="30"/>
  <c r="E2614" i="30"/>
  <c r="E3014" i="30"/>
  <c r="E2400" i="30"/>
  <c r="E2823" i="30"/>
  <c r="E3207" i="30"/>
  <c r="E3304" i="30"/>
  <c r="E2317" i="30"/>
  <c r="E3141" i="30"/>
  <c r="E2702" i="30"/>
  <c r="E3102" i="30"/>
  <c r="E2425" i="30"/>
  <c r="E2863" i="30"/>
  <c r="E3247" i="30"/>
  <c r="E3376" i="30"/>
  <c r="E3776" i="30"/>
  <c r="E3992" i="30"/>
  <c r="E4136" i="30"/>
  <c r="E2752" i="30"/>
  <c r="E3096" i="30"/>
  <c r="E3297" i="30"/>
  <c r="E3393" i="30"/>
  <c r="E3497" i="30"/>
  <c r="E3593" i="30"/>
  <c r="E3705" i="30"/>
  <c r="E3809" i="30"/>
  <c r="E2323" i="30"/>
  <c r="E2955" i="30"/>
  <c r="E3108" i="30"/>
  <c r="E3282" i="30"/>
  <c r="E3386" i="30"/>
  <c r="E3482" i="30"/>
  <c r="E3586" i="30"/>
  <c r="E3682" i="30"/>
  <c r="E3794" i="30"/>
  <c r="E3874" i="30"/>
  <c r="E2832" i="30"/>
  <c r="E3020" i="30"/>
  <c r="E3148" i="30"/>
  <c r="E3251" i="30"/>
  <c r="E3323" i="30"/>
  <c r="E3387" i="30"/>
  <c r="E3451" i="30"/>
  <c r="E3515" i="30"/>
  <c r="E3579" i="30"/>
  <c r="E3643" i="30"/>
  <c r="E3707" i="30"/>
  <c r="E3771" i="30"/>
  <c r="E3835" i="30"/>
  <c r="E3899" i="30"/>
  <c r="E3963" i="30"/>
  <c r="E4027" i="30"/>
  <c r="E4091" i="30"/>
  <c r="E4155" i="30"/>
  <c r="E4219" i="30"/>
  <c r="E4283" i="30"/>
  <c r="E2520" i="30"/>
  <c r="E2921" i="30"/>
  <c r="E3024" i="30"/>
  <c r="E3124" i="30"/>
  <c r="E3227" i="30"/>
  <c r="E3308" i="30"/>
  <c r="E3372" i="30"/>
  <c r="E3436" i="30"/>
  <c r="E3500" i="30"/>
  <c r="E3564" i="30"/>
  <c r="E3628" i="30"/>
  <c r="E3692" i="30"/>
  <c r="E3756" i="30"/>
  <c r="E3820" i="30"/>
  <c r="E3884" i="30"/>
  <c r="E3948" i="30"/>
  <c r="E4012" i="30"/>
  <c r="E4076" i="30"/>
  <c r="E4140" i="30"/>
  <c r="E4204" i="30"/>
  <c r="E4268" i="30"/>
  <c r="E2362" i="30"/>
  <c r="E2892" i="30"/>
  <c r="E3000" i="30"/>
  <c r="E3100" i="30"/>
  <c r="E3203" i="30"/>
  <c r="E3293" i="30"/>
  <c r="E3357" i="30"/>
  <c r="E3421" i="30"/>
  <c r="E3485" i="30"/>
  <c r="E3549" i="30"/>
  <c r="E3613" i="30"/>
  <c r="E3677" i="30"/>
  <c r="E3741" i="30"/>
  <c r="E3805" i="30"/>
  <c r="E3869" i="30"/>
  <c r="E2355" i="30"/>
  <c r="E1289" i="30"/>
  <c r="E2718" i="30"/>
  <c r="E3142" i="30"/>
  <c r="E2479" i="30"/>
  <c r="E2935" i="30"/>
  <c r="E2680" i="30"/>
  <c r="E3392" i="30"/>
  <c r="E3816" i="30"/>
  <c r="E4008" i="30"/>
  <c r="E4152" i="30"/>
  <c r="E2904" i="30"/>
  <c r="E3107" i="30"/>
  <c r="E3305" i="30"/>
  <c r="E3401" i="30"/>
  <c r="E3513" i="30"/>
  <c r="E3617" i="30"/>
  <c r="E3713" i="30"/>
  <c r="E3817" i="30"/>
  <c r="E2426" i="30"/>
  <c r="E2980" i="30"/>
  <c r="E3147" i="30"/>
  <c r="E3290" i="30"/>
  <c r="E3394" i="30"/>
  <c r="E3490" i="30"/>
  <c r="E3602" i="30"/>
  <c r="E3706" i="30"/>
  <c r="E3802" i="30"/>
  <c r="E1944" i="30"/>
  <c r="E2888" i="30"/>
  <c r="E3034" i="30"/>
  <c r="E3162" i="30"/>
  <c r="E3265" i="30"/>
  <c r="E3331" i="30"/>
  <c r="E3395" i="30"/>
  <c r="E3459" i="30"/>
  <c r="E3523" i="30"/>
  <c r="E3587" i="30"/>
  <c r="E3651" i="30"/>
  <c r="E3715" i="30"/>
  <c r="E3779" i="30"/>
  <c r="E3843" i="30"/>
  <c r="E3907" i="30"/>
  <c r="E3971" i="30"/>
  <c r="E4035" i="30"/>
  <c r="E4099" i="30"/>
  <c r="E4163" i="30"/>
  <c r="E4227" i="30"/>
  <c r="E4291" i="30"/>
  <c r="E2584" i="30"/>
  <c r="E2932" i="30"/>
  <c r="E3035" i="30"/>
  <c r="E3138" i="30"/>
  <c r="E3241" i="30"/>
  <c r="E3316" i="30"/>
  <c r="E3380" i="30"/>
  <c r="E3444" i="30"/>
  <c r="E3508" i="30"/>
  <c r="E3572" i="30"/>
  <c r="E3636" i="30"/>
  <c r="E3700" i="30"/>
  <c r="E3764" i="30"/>
  <c r="E3828" i="30"/>
  <c r="E3892" i="30"/>
  <c r="E3956" i="30"/>
  <c r="E4020" i="30"/>
  <c r="E4084" i="30"/>
  <c r="E4148" i="30"/>
  <c r="E4212" i="30"/>
  <c r="E4276" i="30"/>
  <c r="E2464" i="30"/>
  <c r="E2908" i="30"/>
  <c r="E3011" i="30"/>
  <c r="E3114" i="30"/>
  <c r="E3217" i="30"/>
  <c r="E3301" i="30"/>
  <c r="E3365" i="30"/>
  <c r="E3429" i="30"/>
  <c r="E2540" i="30"/>
  <c r="E1912" i="30"/>
  <c r="E2758" i="30"/>
  <c r="E3214" i="30"/>
  <c r="E2567" i="30"/>
  <c r="E2951" i="30"/>
  <c r="E2914" i="30"/>
  <c r="E3432" i="30"/>
  <c r="E3880" i="30"/>
  <c r="E4032" i="30"/>
  <c r="E4160" i="30"/>
  <c r="E2929" i="30"/>
  <c r="E3132" i="30"/>
  <c r="E3321" i="30"/>
  <c r="E3425" i="30"/>
  <c r="E3521" i="30"/>
  <c r="E3625" i="30"/>
  <c r="E3721" i="30"/>
  <c r="E3833" i="30"/>
  <c r="E2632" i="30"/>
  <c r="E2994" i="30"/>
  <c r="E3161" i="30"/>
  <c r="E3298" i="30"/>
  <c r="E3410" i="30"/>
  <c r="E3514" i="30"/>
  <c r="E3610" i="30"/>
  <c r="E3714" i="30"/>
  <c r="E3810" i="30"/>
  <c r="E2234" i="30"/>
  <c r="E2920" i="30"/>
  <c r="E3048" i="30"/>
  <c r="E3176" i="30"/>
  <c r="E3275" i="30"/>
  <c r="E3339" i="30"/>
  <c r="E3403" i="30"/>
  <c r="E3467" i="30"/>
  <c r="E3531" i="30"/>
  <c r="E3595" i="30"/>
  <c r="E3659" i="30"/>
  <c r="E3723" i="30"/>
  <c r="E3787" i="30"/>
  <c r="E3851" i="30"/>
  <c r="E3915" i="30"/>
  <c r="E3979" i="30"/>
  <c r="E4043" i="30"/>
  <c r="E4107" i="30"/>
  <c r="E4171" i="30"/>
  <c r="E4235" i="30"/>
  <c r="E4299" i="30"/>
  <c r="E2648" i="30"/>
  <c r="E2946" i="30"/>
  <c r="E3049" i="30"/>
  <c r="E3152" i="30"/>
  <c r="E3252" i="30"/>
  <c r="E3324" i="30"/>
  <c r="E3388" i="30"/>
  <c r="E3452" i="30"/>
  <c r="E3516" i="30"/>
  <c r="E3580" i="30"/>
  <c r="E3644" i="30"/>
  <c r="E3708" i="30"/>
  <c r="E3772" i="30"/>
  <c r="E3836" i="30"/>
  <c r="E3900" i="30"/>
  <c r="E3964" i="30"/>
  <c r="E4028" i="30"/>
  <c r="E4092" i="30"/>
  <c r="E4156" i="30"/>
  <c r="E4220" i="30"/>
  <c r="E4284" i="30"/>
  <c r="E2528" i="30"/>
  <c r="E2922" i="30"/>
  <c r="E3025" i="30"/>
  <c r="E3128" i="30"/>
  <c r="E3228" i="30"/>
  <c r="E3309" i="30"/>
  <c r="E3373" i="30"/>
  <c r="E3437" i="30"/>
  <c r="E3501" i="30"/>
  <c r="E3565" i="30"/>
  <c r="E3629" i="30"/>
  <c r="E3693" i="30"/>
  <c r="E3757" i="30"/>
  <c r="E3821" i="30"/>
  <c r="E3885" i="30"/>
  <c r="E3112" i="30"/>
  <c r="E3009" i="30"/>
  <c r="E2906" i="30"/>
  <c r="E2440" i="30"/>
  <c r="E3850" i="30"/>
  <c r="E3786" i="30"/>
  <c r="E3722" i="30"/>
  <c r="E3658" i="30"/>
  <c r="E3594" i="30"/>
  <c r="E3530" i="30"/>
  <c r="E3466" i="30"/>
  <c r="E3402" i="30"/>
  <c r="E3338" i="30"/>
  <c r="E3274" i="30"/>
  <c r="E3172" i="30"/>
  <c r="E3072" i="30"/>
  <c r="E2969" i="30"/>
  <c r="E2760" i="30"/>
  <c r="E1816" i="30"/>
  <c r="E3825" i="30"/>
  <c r="E3761" i="30"/>
  <c r="E3697" i="30"/>
  <c r="E3633" i="30"/>
  <c r="E3569" i="30"/>
  <c r="E3505" i="30"/>
  <c r="E3441" i="30"/>
  <c r="E3377" i="30"/>
  <c r="E3313" i="30"/>
  <c r="E3210" i="30"/>
  <c r="E3082" i="30"/>
  <c r="E2940" i="30"/>
  <c r="E2413" i="30"/>
  <c r="E4144" i="30"/>
  <c r="E4056" i="30"/>
  <c r="E3968" i="30"/>
  <c r="E3864" i="30"/>
  <c r="E3608" i="30"/>
  <c r="E3352" i="30"/>
  <c r="E2992" i="30"/>
  <c r="E3167" i="30"/>
  <c r="E2911" i="30"/>
  <c r="E2655" i="30"/>
  <c r="E2361" i="30"/>
  <c r="E3190" i="30"/>
  <c r="E2934" i="30"/>
  <c r="E2678" i="30"/>
  <c r="E2232" i="30"/>
  <c r="E3029" i="30"/>
  <c r="E2485" i="30"/>
  <c r="E1136" i="30"/>
  <c r="E2378" i="30"/>
  <c r="E2965" i="30"/>
  <c r="E2267" i="30"/>
  <c r="E2691" i="30"/>
  <c r="E1714" i="30"/>
  <c r="E2901" i="30"/>
  <c r="E2860" i="30"/>
  <c r="E2587" i="30"/>
  <c r="E2673" i="30"/>
  <c r="E3762" i="30"/>
  <c r="E3698" i="30"/>
  <c r="E3634" i="30"/>
  <c r="E3570" i="30"/>
  <c r="E3506" i="30"/>
  <c r="E3442" i="30"/>
  <c r="E3378" i="30"/>
  <c r="E3314" i="30"/>
  <c r="E3236" i="30"/>
  <c r="E3136" i="30"/>
  <c r="E3033" i="30"/>
  <c r="E2930" i="30"/>
  <c r="E2568" i="30"/>
  <c r="E3865" i="30"/>
  <c r="E3801" i="30"/>
  <c r="E3737" i="30"/>
  <c r="E3673" i="30"/>
  <c r="E3609" i="30"/>
  <c r="E3545" i="30"/>
  <c r="E3481" i="30"/>
  <c r="E3417" i="30"/>
  <c r="E3353" i="30"/>
  <c r="E3289" i="30"/>
  <c r="E3171" i="30"/>
  <c r="E3032" i="30"/>
  <c r="E2880" i="30"/>
  <c r="E1678" i="30"/>
  <c r="E4112" i="30"/>
  <c r="E4024" i="30"/>
  <c r="E3944" i="30"/>
  <c r="E3760" i="30"/>
  <c r="E3504" i="30"/>
  <c r="E3234" i="30"/>
  <c r="E2552" i="30"/>
  <c r="E3063" i="30"/>
  <c r="E2807" i="30"/>
  <c r="E2551" i="30"/>
  <c r="E2192" i="30"/>
  <c r="E3086" i="30"/>
  <c r="E2830" i="30"/>
  <c r="E2550" i="30"/>
  <c r="E3229" i="30"/>
  <c r="E2893" i="30"/>
  <c r="E2820" i="30"/>
  <c r="E2515" i="30"/>
  <c r="E2338" i="30"/>
  <c r="E3059" i="30"/>
  <c r="E2956" i="30"/>
  <c r="E2704" i="30"/>
  <c r="E3882" i="30"/>
  <c r="E3818" i="30"/>
  <c r="E3754" i="30"/>
  <c r="E3690" i="30"/>
  <c r="E3626" i="30"/>
  <c r="E3562" i="30"/>
  <c r="E3498" i="30"/>
  <c r="E3434" i="30"/>
  <c r="E3370" i="30"/>
  <c r="E3306" i="30"/>
  <c r="E3225" i="30"/>
  <c r="E3122" i="30"/>
  <c r="E3019" i="30"/>
  <c r="E2916" i="30"/>
  <c r="E2504" i="30"/>
  <c r="E3857" i="30"/>
  <c r="E3793" i="30"/>
  <c r="E3729" i="30"/>
  <c r="E3665" i="30"/>
  <c r="E3601" i="30"/>
  <c r="E3537" i="30"/>
  <c r="E3473" i="30"/>
  <c r="E3409" i="30"/>
  <c r="E3345" i="30"/>
  <c r="E3281" i="30"/>
  <c r="E3146" i="30"/>
  <c r="E3004" i="30"/>
  <c r="E2816" i="30"/>
  <c r="E4184" i="30"/>
  <c r="E4096" i="30"/>
  <c r="E4016" i="30"/>
  <c r="E3928" i="30"/>
  <c r="E3736" i="30"/>
  <c r="E3480" i="30"/>
  <c r="E3195" i="30"/>
  <c r="E2298" i="30"/>
  <c r="E3039" i="30"/>
  <c r="E2783" i="30"/>
  <c r="E2527" i="30"/>
  <c r="E2128" i="30"/>
  <c r="E3062" i="30"/>
  <c r="E2806" i="30"/>
  <c r="E2502" i="30"/>
  <c r="E3205" i="30"/>
  <c r="E2797" i="30"/>
  <c r="E2692" i="30"/>
  <c r="E1733" i="30"/>
  <c r="E2311" i="30"/>
  <c r="E2858" i="30"/>
  <c r="E3752" i="30"/>
  <c r="E3624" i="30"/>
  <c r="E3496" i="30"/>
  <c r="E3368" i="30"/>
  <c r="E3220" i="30"/>
  <c r="E3017" i="30"/>
  <c r="E2488" i="30"/>
  <c r="E3183" i="30"/>
  <c r="E3055" i="30"/>
  <c r="E2927" i="30"/>
  <c r="E2799" i="30"/>
  <c r="E2671" i="30"/>
  <c r="E2543" i="30"/>
  <c r="E2386" i="30"/>
  <c r="E2169" i="30"/>
  <c r="E3206" i="30"/>
  <c r="E3078" i="30"/>
  <c r="E2950" i="30"/>
  <c r="E2822" i="30"/>
  <c r="E2694" i="30"/>
  <c r="E2510" i="30"/>
  <c r="E2296" i="30"/>
  <c r="E3221" i="30"/>
  <c r="E3037" i="30"/>
  <c r="E2869" i="30"/>
  <c r="E2533" i="30"/>
  <c r="E2732" i="30"/>
  <c r="E2253" i="30"/>
  <c r="E2563" i="30"/>
  <c r="E2746" i="30"/>
  <c r="E2289" i="30"/>
  <c r="E2325" i="30"/>
  <c r="E3840" i="30"/>
  <c r="E3712" i="30"/>
  <c r="E3584" i="30"/>
  <c r="E3456" i="30"/>
  <c r="E3328" i="30"/>
  <c r="E3156" i="30"/>
  <c r="E2953" i="30"/>
  <c r="E3271" i="30"/>
  <c r="E3143" i="30"/>
  <c r="E3015" i="30"/>
  <c r="E2887" i="30"/>
  <c r="E2759" i="30"/>
  <c r="E2631" i="30"/>
  <c r="E2503" i="30"/>
  <c r="E2322" i="30"/>
  <c r="E1800" i="30"/>
  <c r="E3166" i="30"/>
  <c r="E3038" i="30"/>
  <c r="E2910" i="30"/>
  <c r="E2782" i="30"/>
  <c r="E2638" i="30"/>
  <c r="E2486" i="30"/>
  <c r="E2218" i="30"/>
  <c r="E3165" i="30"/>
  <c r="E3013" i="30"/>
  <c r="E2789" i="30"/>
  <c r="E2357" i="30"/>
  <c r="E2652" i="30"/>
  <c r="E2899" i="30"/>
  <c r="E2368" i="30"/>
  <c r="E2690" i="30"/>
  <c r="E1497" i="30"/>
  <c r="E2350" i="30"/>
  <c r="E3824" i="30"/>
  <c r="E3696" i="30"/>
  <c r="E3568" i="30"/>
  <c r="E3440" i="30"/>
  <c r="E3312" i="30"/>
  <c r="E3131" i="30"/>
  <c r="E2928" i="30"/>
  <c r="E3255" i="30"/>
  <c r="E3127" i="30"/>
  <c r="E2999" i="30"/>
  <c r="E2871" i="30"/>
  <c r="E2743" i="30"/>
  <c r="E2615" i="30"/>
  <c r="E2487" i="30"/>
  <c r="E2297" i="30"/>
  <c r="E1353" i="30"/>
  <c r="E3150" i="30"/>
  <c r="E3022" i="30"/>
  <c r="E2894" i="30"/>
  <c r="E2766" i="30"/>
  <c r="E2630" i="30"/>
  <c r="E2435" i="30"/>
  <c r="E2189" i="30"/>
  <c r="E3157" i="30"/>
  <c r="E2973" i="30"/>
  <c r="E2749" i="30"/>
  <c r="E2331" i="30"/>
  <c r="E2548" i="30"/>
  <c r="E2851" i="30"/>
  <c r="E2354" i="30"/>
  <c r="E2602" i="30"/>
  <c r="E2881" i="30"/>
  <c r="E2262" i="30"/>
  <c r="E2755" i="30"/>
  <c r="E2277" i="30"/>
  <c r="E2554" i="30"/>
  <c r="E2761" i="30"/>
  <c r="E2228" i="30"/>
  <c r="E3800" i="30"/>
  <c r="E3672" i="30"/>
  <c r="E3544" i="30"/>
  <c r="E3416" i="30"/>
  <c r="E3288" i="30"/>
  <c r="E3092" i="30"/>
  <c r="E2872" i="30"/>
  <c r="E3231" i="30"/>
  <c r="E3103" i="30"/>
  <c r="E2975" i="30"/>
  <c r="E2847" i="30"/>
  <c r="E2719" i="30"/>
  <c r="E2591" i="30"/>
  <c r="E2462" i="30"/>
  <c r="E2258" i="30"/>
  <c r="E3254" i="30"/>
  <c r="E3126" i="30"/>
  <c r="E2998" i="30"/>
  <c r="E2870" i="30"/>
  <c r="E2742" i="30"/>
  <c r="E2574" i="30"/>
  <c r="E2397" i="30"/>
  <c r="E1784" i="30"/>
  <c r="E3101" i="30"/>
  <c r="E2949" i="30"/>
  <c r="E2661" i="30"/>
  <c r="E1217" i="30"/>
  <c r="E2492" i="30"/>
  <c r="E2715" i="30"/>
  <c r="E1992" i="30"/>
  <c r="E2538" i="30"/>
  <c r="E2753" i="30"/>
  <c r="E3260" i="30"/>
  <c r="E3160" i="30"/>
  <c r="E3057" i="30"/>
  <c r="E2954" i="30"/>
  <c r="E2688" i="30"/>
  <c r="E4192" i="30"/>
  <c r="E4128" i="30"/>
  <c r="E4064" i="30"/>
  <c r="E4000" i="30"/>
  <c r="E3936" i="30"/>
  <c r="E3872" i="30"/>
  <c r="E3808" i="30"/>
  <c r="E3744" i="30"/>
  <c r="E3680" i="30"/>
  <c r="E3616" i="30"/>
  <c r="E3552" i="30"/>
  <c r="E3488" i="30"/>
  <c r="E3424" i="30"/>
  <c r="E3360" i="30"/>
  <c r="E3296" i="30"/>
  <c r="E3209" i="30"/>
  <c r="E3106" i="30"/>
  <c r="E3003" i="30"/>
  <c r="E2900" i="30"/>
  <c r="E2401" i="30"/>
  <c r="E3239" i="30"/>
  <c r="E3175" i="30"/>
  <c r="E3111" i="30"/>
  <c r="E3047" i="30"/>
  <c r="E2983" i="30"/>
  <c r="E2919" i="30"/>
  <c r="E2855" i="30"/>
  <c r="E2791" i="30"/>
  <c r="E2727" i="30"/>
  <c r="E2663" i="30"/>
  <c r="E2599" i="30"/>
  <c r="E2535" i="30"/>
  <c r="E2471" i="30"/>
  <c r="E2373" i="30"/>
  <c r="E2272" i="30"/>
  <c r="E2149" i="30"/>
  <c r="E3262" i="30"/>
  <c r="E3198" i="30"/>
  <c r="E3134" i="30"/>
  <c r="E3070" i="30"/>
  <c r="E3006" i="30"/>
  <c r="E2942" i="30"/>
  <c r="E2878" i="30"/>
  <c r="E2814" i="30"/>
  <c r="E2750" i="30"/>
  <c r="E2686" i="30"/>
  <c r="E2622" i="30"/>
  <c r="E2558" i="30"/>
  <c r="E2494" i="30"/>
  <c r="E2410" i="30"/>
  <c r="E2307" i="30"/>
  <c r="E2205" i="30"/>
  <c r="E1639" i="30"/>
  <c r="E3213" i="30"/>
  <c r="E3149" i="30"/>
  <c r="E3085" i="30"/>
  <c r="E3021" i="30"/>
  <c r="E2957" i="30"/>
  <c r="E2877" i="30"/>
  <c r="E2765" i="30"/>
  <c r="E2653" i="30"/>
  <c r="E2493" i="30"/>
  <c r="E2281" i="30"/>
  <c r="E2844" i="30"/>
  <c r="E2684" i="30"/>
  <c r="E2524" i="30"/>
  <c r="E2280" i="30"/>
  <c r="E2859" i="30"/>
  <c r="E2707" i="30"/>
  <c r="E2539" i="30"/>
  <c r="E2341" i="30"/>
  <c r="E2866" i="30"/>
  <c r="E2714" i="30"/>
  <c r="E2546" i="30"/>
  <c r="E2353" i="30"/>
  <c r="E911" i="30"/>
  <c r="E2689" i="30"/>
  <c r="E2176" i="30"/>
  <c r="E2097" i="30"/>
  <c r="E3920" i="30"/>
  <c r="E3856" i="30"/>
  <c r="E3792" i="30"/>
  <c r="E3728" i="30"/>
  <c r="E3664" i="30"/>
  <c r="E3600" i="30"/>
  <c r="E3536" i="30"/>
  <c r="E3472" i="30"/>
  <c r="E3408" i="30"/>
  <c r="E3344" i="30"/>
  <c r="E3280" i="30"/>
  <c r="E3184" i="30"/>
  <c r="E3081" i="30"/>
  <c r="E2978" i="30"/>
  <c r="E2808" i="30"/>
  <c r="E2193" i="30"/>
  <c r="E3223" i="30"/>
  <c r="E3159" i="30"/>
  <c r="E3095" i="30"/>
  <c r="E3031" i="30"/>
  <c r="E2967" i="30"/>
  <c r="E2903" i="30"/>
  <c r="E2839" i="30"/>
  <c r="E2775" i="30"/>
  <c r="E2711" i="30"/>
  <c r="E2647" i="30"/>
  <c r="E2583" i="30"/>
  <c r="E2519" i="30"/>
  <c r="E2450" i="30"/>
  <c r="E2347" i="30"/>
  <c r="E2245" i="30"/>
  <c r="E2056" i="30"/>
  <c r="E3246" i="30"/>
  <c r="E3182" i="30"/>
  <c r="E3118" i="30"/>
  <c r="E3054" i="30"/>
  <c r="E2990" i="30"/>
  <c r="E2926" i="30"/>
  <c r="E2862" i="30"/>
  <c r="E2798" i="30"/>
  <c r="E2734" i="30"/>
  <c r="E2670" i="30"/>
  <c r="E2606" i="30"/>
  <c r="E2542" i="30"/>
  <c r="E2478" i="30"/>
  <c r="E2385" i="30"/>
  <c r="E2282" i="30"/>
  <c r="E2168" i="30"/>
  <c r="E3261" i="30"/>
  <c r="E3197" i="30"/>
  <c r="E3133" i="30"/>
  <c r="E3069" i="30"/>
  <c r="E3005" i="30"/>
  <c r="E2941" i="30"/>
  <c r="E2853" i="30"/>
  <c r="E2741" i="30"/>
  <c r="E2613" i="30"/>
  <c r="E2477" i="30"/>
  <c r="E2185" i="30"/>
  <c r="E2804" i="30"/>
  <c r="E2628" i="30"/>
  <c r="E2484" i="30"/>
  <c r="E2216" i="30"/>
  <c r="E2819" i="30"/>
  <c r="E2659" i="30"/>
  <c r="E2499" i="30"/>
  <c r="E2265" i="30"/>
  <c r="E2842" i="30"/>
  <c r="E2666" i="30"/>
  <c r="E2498" i="30"/>
  <c r="E2275" i="30"/>
  <c r="E2857" i="30"/>
  <c r="E2657" i="30"/>
  <c r="E2295" i="30"/>
  <c r="E2048" i="30"/>
  <c r="E3224" i="30"/>
  <c r="E3121" i="30"/>
  <c r="E3018" i="30"/>
  <c r="E2915" i="30"/>
  <c r="E2496" i="30"/>
  <c r="E4168" i="30"/>
  <c r="E4104" i="30"/>
  <c r="E4040" i="30"/>
  <c r="E3976" i="30"/>
  <c r="E3912" i="30"/>
  <c r="E3848" i="30"/>
  <c r="E3784" i="30"/>
  <c r="E3720" i="30"/>
  <c r="E3656" i="30"/>
  <c r="E3592" i="30"/>
  <c r="E3528" i="30"/>
  <c r="E3464" i="30"/>
  <c r="E3400" i="30"/>
  <c r="E3336" i="30"/>
  <c r="E3272" i="30"/>
  <c r="E3170" i="30"/>
  <c r="E3067" i="30"/>
  <c r="E2964" i="30"/>
  <c r="E2744" i="30"/>
  <c r="E1408" i="30"/>
  <c r="E3215" i="30"/>
  <c r="E3151" i="30"/>
  <c r="E3087" i="30"/>
  <c r="E3023" i="30"/>
  <c r="E2959" i="30"/>
  <c r="E2895" i="30"/>
  <c r="E2831" i="30"/>
  <c r="E2767" i="30"/>
  <c r="E2703" i="30"/>
  <c r="E2639" i="30"/>
  <c r="E2575" i="30"/>
  <c r="E2511" i="30"/>
  <c r="E2437" i="30"/>
  <c r="E2336" i="30"/>
  <c r="E2233" i="30"/>
  <c r="E1928" i="30"/>
  <c r="E3238" i="30"/>
  <c r="E3174" i="30"/>
  <c r="E3110" i="30"/>
  <c r="E3046" i="30"/>
  <c r="E2982" i="30"/>
  <c r="E2918" i="30"/>
  <c r="E2854" i="30"/>
  <c r="E2790" i="30"/>
  <c r="E2726" i="30"/>
  <c r="E2662" i="30"/>
  <c r="E2598" i="30"/>
  <c r="E2534" i="30"/>
  <c r="E2470" i="30"/>
  <c r="E2371" i="30"/>
  <c r="E2269" i="30"/>
  <c r="E2145" i="30"/>
  <c r="E3253" i="30"/>
  <c r="E3189" i="30"/>
  <c r="E3125" i="30"/>
  <c r="E3061" i="30"/>
  <c r="E2997" i="30"/>
  <c r="E2933" i="30"/>
  <c r="E2845" i="30"/>
  <c r="E2733" i="30"/>
  <c r="E2589" i="30"/>
  <c r="E2459" i="30"/>
  <c r="E2165" i="30"/>
  <c r="E2796" i="30"/>
  <c r="E2620" i="30"/>
  <c r="E2419" i="30"/>
  <c r="E2184" i="30"/>
  <c r="E2795" i="30"/>
  <c r="E2651" i="30"/>
  <c r="E2475" i="30"/>
  <c r="E2213" i="30"/>
  <c r="E2810" i="30"/>
  <c r="E2650" i="30"/>
  <c r="E2490" i="30"/>
  <c r="E2250" i="30"/>
  <c r="E2833" i="30"/>
  <c r="E2609" i="30"/>
  <c r="E2215" i="30"/>
  <c r="E1703" i="30"/>
  <c r="E2654" i="30"/>
  <c r="E2590" i="30"/>
  <c r="E2526" i="30"/>
  <c r="E2461" i="30"/>
  <c r="E2360" i="30"/>
  <c r="E2257" i="30"/>
  <c r="E2125" i="30"/>
  <c r="E3245" i="30"/>
  <c r="E3181" i="30"/>
  <c r="E3117" i="30"/>
  <c r="E3053" i="30"/>
  <c r="E2989" i="30"/>
  <c r="E2917" i="30"/>
  <c r="E2829" i="30"/>
  <c r="E2717" i="30"/>
  <c r="E2573" i="30"/>
  <c r="E2434" i="30"/>
  <c r="E2144" i="30"/>
  <c r="E2748" i="30"/>
  <c r="E2604" i="30"/>
  <c r="E2408" i="30"/>
  <c r="E2161" i="30"/>
  <c r="E2787" i="30"/>
  <c r="E2603" i="30"/>
  <c r="E2457" i="30"/>
  <c r="E2160" i="30"/>
  <c r="E2802" i="30"/>
  <c r="E2626" i="30"/>
  <c r="E2456" i="30"/>
  <c r="E2200" i="30"/>
  <c r="E2817" i="30"/>
  <c r="E2585" i="30"/>
  <c r="E2054" i="30"/>
  <c r="E2107" i="30"/>
  <c r="E3896" i="30"/>
  <c r="E3832" i="30"/>
  <c r="E3768" i="30"/>
  <c r="E3704" i="30"/>
  <c r="E3640" i="30"/>
  <c r="E3576" i="30"/>
  <c r="E3512" i="30"/>
  <c r="E3448" i="30"/>
  <c r="E3384" i="30"/>
  <c r="E3320" i="30"/>
  <c r="E3248" i="30"/>
  <c r="E3145" i="30"/>
  <c r="E3042" i="30"/>
  <c r="E2939" i="30"/>
  <c r="E2616" i="30"/>
  <c r="E3263" i="30"/>
  <c r="E3199" i="30"/>
  <c r="E3135" i="30"/>
  <c r="E3071" i="30"/>
  <c r="E3007" i="30"/>
  <c r="E2943" i="30"/>
  <c r="E2879" i="30"/>
  <c r="E2815" i="30"/>
  <c r="E2751" i="30"/>
  <c r="E2687" i="30"/>
  <c r="E2623" i="30"/>
  <c r="E2559" i="30"/>
  <c r="E2495" i="30"/>
  <c r="E2411" i="30"/>
  <c r="E2309" i="30"/>
  <c r="E2208" i="30"/>
  <c r="E1660" i="30"/>
  <c r="E3222" i="30"/>
  <c r="E3158" i="30"/>
  <c r="E3094" i="30"/>
  <c r="E3030" i="30"/>
  <c r="E2966" i="30"/>
  <c r="E2902" i="30"/>
  <c r="E2838" i="30"/>
  <c r="E2774" i="30"/>
  <c r="E2710" i="30"/>
  <c r="E2646" i="30"/>
  <c r="E2582" i="30"/>
  <c r="E2518" i="30"/>
  <c r="E2449" i="30"/>
  <c r="E2346" i="30"/>
  <c r="E2243" i="30"/>
  <c r="E2040" i="30"/>
  <c r="E3237" i="30"/>
  <c r="E3173" i="30"/>
  <c r="E3109" i="30"/>
  <c r="E3045" i="30"/>
  <c r="E2981" i="30"/>
  <c r="E2909" i="30"/>
  <c r="E2813" i="30"/>
  <c r="E2701" i="30"/>
  <c r="E2557" i="30"/>
  <c r="E2370" i="30"/>
  <c r="E1896" i="30"/>
  <c r="E2740" i="30"/>
  <c r="E2588" i="30"/>
  <c r="E2394" i="30"/>
  <c r="E1583" i="30"/>
  <c r="E2771" i="30"/>
  <c r="E2595" i="30"/>
  <c r="E2443" i="30"/>
  <c r="E2137" i="30"/>
  <c r="E2754" i="30"/>
  <c r="E2610" i="30"/>
  <c r="E2417" i="30"/>
  <c r="E2177" i="30"/>
  <c r="E2777" i="30"/>
  <c r="E2481" i="30"/>
  <c r="E2390" i="30"/>
  <c r="E2885" i="30"/>
  <c r="E2805" i="30"/>
  <c r="E2725" i="30"/>
  <c r="E2637" i="30"/>
  <c r="E2549" i="30"/>
  <c r="E2469" i="30"/>
  <c r="E2293" i="30"/>
  <c r="E2120" i="30"/>
  <c r="E2812" i="30"/>
  <c r="E2716" i="30"/>
  <c r="E2612" i="30"/>
  <c r="E2500" i="30"/>
  <c r="E2381" i="30"/>
  <c r="E2202" i="30"/>
  <c r="E2883" i="30"/>
  <c r="E2779" i="30"/>
  <c r="E2667" i="30"/>
  <c r="E2579" i="30"/>
  <c r="E2467" i="30"/>
  <c r="E2315" i="30"/>
  <c r="E2113" i="30"/>
  <c r="E2818" i="30"/>
  <c r="E2730" i="30"/>
  <c r="E2618" i="30"/>
  <c r="E2522" i="30"/>
  <c r="E2392" i="30"/>
  <c r="E2211" i="30"/>
  <c r="E2897" i="30"/>
  <c r="E2769" i="30"/>
  <c r="E2641" i="30"/>
  <c r="E2288" i="30"/>
  <c r="E2102" i="30"/>
  <c r="E2174" i="30"/>
  <c r="E1599" i="30"/>
  <c r="E1832" i="30"/>
  <c r="E1894" i="30"/>
  <c r="E1985" i="30"/>
  <c r="E685" i="30"/>
  <c r="E2925" i="30"/>
  <c r="E2861" i="30"/>
  <c r="E2781" i="30"/>
  <c r="E2685" i="30"/>
  <c r="E2605" i="30"/>
  <c r="E2525" i="30"/>
  <c r="E2395" i="30"/>
  <c r="E2256" i="30"/>
  <c r="E2876" i="30"/>
  <c r="E2780" i="30"/>
  <c r="E2676" i="30"/>
  <c r="E2564" i="30"/>
  <c r="E2476" i="30"/>
  <c r="E2305" i="30"/>
  <c r="E2118" i="30"/>
  <c r="E2843" i="30"/>
  <c r="E2731" i="30"/>
  <c r="E2643" i="30"/>
  <c r="E2531" i="30"/>
  <c r="E2418" i="30"/>
  <c r="E2251" i="30"/>
  <c r="E2882" i="30"/>
  <c r="E2794" i="30"/>
  <c r="E2682" i="30"/>
  <c r="E2586" i="30"/>
  <c r="E2482" i="30"/>
  <c r="E2314" i="30"/>
  <c r="E2157" i="30"/>
  <c r="E2849" i="30"/>
  <c r="E2721" i="30"/>
  <c r="E2569" i="30"/>
  <c r="E2383" i="30"/>
  <c r="E1577" i="30"/>
  <c r="E1670" i="30"/>
  <c r="E1354" i="30"/>
  <c r="E2677" i="30"/>
  <c r="E2597" i="30"/>
  <c r="E2509" i="30"/>
  <c r="E2384" i="30"/>
  <c r="E2229" i="30"/>
  <c r="E2868" i="30"/>
  <c r="E2756" i="30"/>
  <c r="E2668" i="30"/>
  <c r="E2556" i="30"/>
  <c r="E2458" i="30"/>
  <c r="E2291" i="30"/>
  <c r="E1751" i="30"/>
  <c r="E2835" i="30"/>
  <c r="E2723" i="30"/>
  <c r="E2627" i="30"/>
  <c r="E2523" i="30"/>
  <c r="E2379" i="30"/>
  <c r="E2240" i="30"/>
  <c r="E2874" i="30"/>
  <c r="E2778" i="30"/>
  <c r="E2674" i="30"/>
  <c r="E2562" i="30"/>
  <c r="E2474" i="30"/>
  <c r="E2301" i="30"/>
  <c r="E2104" i="30"/>
  <c r="E2841" i="30"/>
  <c r="E2697" i="30"/>
  <c r="E2561" i="30"/>
  <c r="E2319" i="30"/>
  <c r="E2398" i="30"/>
  <c r="E2284" i="30"/>
  <c r="E626" i="30"/>
  <c r="E1891" i="30"/>
  <c r="E1936" i="30"/>
  <c r="E2117" i="30"/>
  <c r="E1846" i="30"/>
  <c r="E1333" i="30"/>
  <c r="E1854" i="30"/>
  <c r="E466" i="30"/>
  <c r="E2837" i="30"/>
  <c r="E2773" i="30"/>
  <c r="E2709" i="30"/>
  <c r="E2645" i="30"/>
  <c r="E2581" i="30"/>
  <c r="E2517" i="30"/>
  <c r="E2448" i="30"/>
  <c r="E2345" i="30"/>
  <c r="E2242" i="30"/>
  <c r="E2024" i="30"/>
  <c r="E2852" i="30"/>
  <c r="E2788" i="30"/>
  <c r="E2724" i="30"/>
  <c r="E2660" i="30"/>
  <c r="E2596" i="30"/>
  <c r="E2532" i="30"/>
  <c r="E2468" i="30"/>
  <c r="E2369" i="30"/>
  <c r="E2266" i="30"/>
  <c r="E2141" i="30"/>
  <c r="E2891" i="30"/>
  <c r="E2827" i="30"/>
  <c r="E2763" i="30"/>
  <c r="E2699" i="30"/>
  <c r="E2635" i="30"/>
  <c r="E2571" i="30"/>
  <c r="E2507" i="30"/>
  <c r="E2432" i="30"/>
  <c r="E2329" i="30"/>
  <c r="E2226" i="30"/>
  <c r="E1864" i="30"/>
  <c r="E2850" i="30"/>
  <c r="E2786" i="30"/>
  <c r="E2722" i="30"/>
  <c r="E2658" i="30"/>
  <c r="E2594" i="30"/>
  <c r="E2530" i="30"/>
  <c r="E2466" i="30"/>
  <c r="E2365" i="30"/>
  <c r="E2264" i="30"/>
  <c r="E2136" i="30"/>
  <c r="E2889" i="30"/>
  <c r="E2825" i="30"/>
  <c r="E2737" i="30"/>
  <c r="E2649" i="30"/>
  <c r="E2529" i="30"/>
  <c r="E2088" i="30"/>
  <c r="E2231" i="30"/>
  <c r="E1814" i="30"/>
  <c r="E2222" i="30"/>
  <c r="E1688" i="30"/>
  <c r="E1808" i="30"/>
  <c r="E2091" i="30"/>
  <c r="E2101" i="30"/>
  <c r="E335" i="30"/>
  <c r="E1915" i="30"/>
  <c r="E1005" i="30"/>
  <c r="E2821" i="30"/>
  <c r="E2757" i="30"/>
  <c r="E2693" i="30"/>
  <c r="E2629" i="30"/>
  <c r="E2565" i="30"/>
  <c r="E2501" i="30"/>
  <c r="E2421" i="30"/>
  <c r="E2320" i="30"/>
  <c r="E2217" i="30"/>
  <c r="E1768" i="30"/>
  <c r="E2836" i="30"/>
  <c r="E2772" i="30"/>
  <c r="E2708" i="30"/>
  <c r="E2644" i="30"/>
  <c r="E2580" i="30"/>
  <c r="E2516" i="30"/>
  <c r="E2445" i="30"/>
  <c r="E2344" i="30"/>
  <c r="E2241" i="30"/>
  <c r="E2008" i="30"/>
  <c r="E2875" i="30"/>
  <c r="E2811" i="30"/>
  <c r="E2747" i="30"/>
  <c r="E2683" i="30"/>
  <c r="E2619" i="30"/>
  <c r="E2555" i="30"/>
  <c r="E2491" i="30"/>
  <c r="E2405" i="30"/>
  <c r="E2304" i="30"/>
  <c r="E2201" i="30"/>
  <c r="E1538" i="30"/>
  <c r="E2834" i="30"/>
  <c r="E2770" i="30"/>
  <c r="E2706" i="30"/>
  <c r="E2642" i="30"/>
  <c r="E2578" i="30"/>
  <c r="E2514" i="30"/>
  <c r="E2442" i="30"/>
  <c r="E2339" i="30"/>
  <c r="E2237" i="30"/>
  <c r="E1976" i="30"/>
  <c r="E2873" i="30"/>
  <c r="E2801" i="30"/>
  <c r="E2713" i="30"/>
  <c r="E2633" i="30"/>
  <c r="E2465" i="30"/>
  <c r="E2431" i="30"/>
  <c r="E2183" i="30"/>
  <c r="E1535" i="30"/>
  <c r="E2035" i="30"/>
  <c r="E783" i="30"/>
  <c r="E2195" i="30"/>
  <c r="E1364" i="30"/>
  <c r="E1980" i="30"/>
  <c r="E2409" i="30"/>
  <c r="E2306" i="30"/>
  <c r="E2203" i="30"/>
  <c r="E1617" i="30"/>
  <c r="E2828" i="30"/>
  <c r="E2764" i="30"/>
  <c r="E2700" i="30"/>
  <c r="E2636" i="30"/>
  <c r="E2572" i="30"/>
  <c r="E2508" i="30"/>
  <c r="E2433" i="30"/>
  <c r="E2330" i="30"/>
  <c r="E2227" i="30"/>
  <c r="E1880" i="30"/>
  <c r="E2867" i="30"/>
  <c r="E2803" i="30"/>
  <c r="E2739" i="30"/>
  <c r="E2675" i="30"/>
  <c r="E2611" i="30"/>
  <c r="E2547" i="30"/>
  <c r="E2483" i="30"/>
  <c r="E2393" i="30"/>
  <c r="E2290" i="30"/>
  <c r="E2181" i="30"/>
  <c r="E1031" i="30"/>
  <c r="E2826" i="30"/>
  <c r="E2762" i="30"/>
  <c r="E2698" i="30"/>
  <c r="E2634" i="30"/>
  <c r="E2570" i="30"/>
  <c r="E2506" i="30"/>
  <c r="E2429" i="30"/>
  <c r="E2328" i="30"/>
  <c r="E2225" i="30"/>
  <c r="E1848" i="30"/>
  <c r="E2865" i="30"/>
  <c r="E2785" i="30"/>
  <c r="E2705" i="30"/>
  <c r="E2625" i="30"/>
  <c r="E2441" i="30"/>
  <c r="E2423" i="30"/>
  <c r="E2115" i="30"/>
  <c r="E1122" i="30"/>
  <c r="E2019" i="30"/>
  <c r="E2292" i="30"/>
  <c r="E2122" i="30"/>
  <c r="E1303" i="30"/>
  <c r="E711" i="30"/>
  <c r="E2545" i="30"/>
  <c r="E2453" i="30"/>
  <c r="E2313" i="30"/>
  <c r="E1960" i="30"/>
  <c r="E2407" i="30"/>
  <c r="E2303" i="30"/>
  <c r="E2191" i="30"/>
  <c r="E2086" i="30"/>
  <c r="E1830" i="30"/>
  <c r="E1449" i="30"/>
  <c r="E2366" i="30"/>
  <c r="E2198" i="30"/>
  <c r="E1939" i="30"/>
  <c r="E2081" i="30"/>
  <c r="E1385" i="30"/>
  <c r="E2276" i="30"/>
  <c r="E1824" i="30"/>
  <c r="E2187" i="30"/>
  <c r="E1625" i="30"/>
  <c r="E1979" i="30"/>
  <c r="E932" i="30"/>
  <c r="E1943" i="30"/>
  <c r="E2029" i="30"/>
  <c r="E1964" i="30"/>
  <c r="E1717" i="30"/>
  <c r="E1927" i="30"/>
  <c r="E1925" i="30"/>
  <c r="E1956" i="30"/>
  <c r="E1295" i="30"/>
  <c r="E2521" i="30"/>
  <c r="E2427" i="30"/>
  <c r="E2249" i="30"/>
  <c r="E1696" i="30"/>
  <c r="E2375" i="30"/>
  <c r="E2279" i="30"/>
  <c r="E2175" i="30"/>
  <c r="E2006" i="30"/>
  <c r="E1766" i="30"/>
  <c r="E1018" i="30"/>
  <c r="E2334" i="30"/>
  <c r="E2158" i="30"/>
  <c r="E1763" i="30"/>
  <c r="E1953" i="30"/>
  <c r="E2452" i="30"/>
  <c r="E2204" i="30"/>
  <c r="E1760" i="30"/>
  <c r="E2030" i="30"/>
  <c r="E1471" i="30"/>
  <c r="E1851" i="30"/>
  <c r="E2009" i="30"/>
  <c r="E1855" i="30"/>
  <c r="E1781" i="30"/>
  <c r="E1852" i="30"/>
  <c r="E1478" i="30"/>
  <c r="E2593" i="30"/>
  <c r="E2513" i="30"/>
  <c r="E2416" i="30"/>
  <c r="E2235" i="30"/>
  <c r="E610" i="30"/>
  <c r="E2367" i="30"/>
  <c r="E2255" i="30"/>
  <c r="E2167" i="30"/>
  <c r="E1990" i="30"/>
  <c r="E1730" i="30"/>
  <c r="E881" i="30"/>
  <c r="E2286" i="30"/>
  <c r="E2150" i="30"/>
  <c r="E1672" i="30"/>
  <c r="E1921" i="30"/>
  <c r="E2412" i="30"/>
  <c r="E2140" i="30"/>
  <c r="E1669" i="30"/>
  <c r="E1982" i="30"/>
  <c r="E1072" i="30"/>
  <c r="E1803" i="30"/>
  <c r="E1929" i="30"/>
  <c r="E1791" i="30"/>
  <c r="E1773" i="30"/>
  <c r="E1692" i="30"/>
  <c r="E1470" i="30"/>
  <c r="E2505" i="30"/>
  <c r="E2389" i="30"/>
  <c r="E2224" i="30"/>
  <c r="E2447" i="30"/>
  <c r="E2359" i="30"/>
  <c r="E2247" i="30"/>
  <c r="E2151" i="30"/>
  <c r="E1974" i="30"/>
  <c r="E1676" i="30"/>
  <c r="E543" i="30"/>
  <c r="E2278" i="30"/>
  <c r="E2134" i="30"/>
  <c r="E1654" i="30"/>
  <c r="E1725" i="30"/>
  <c r="E2404" i="30"/>
  <c r="E2080" i="30"/>
  <c r="E1629" i="30"/>
  <c r="E1902" i="30"/>
  <c r="E2162" i="30"/>
  <c r="E1718" i="30"/>
  <c r="E1734" i="30"/>
  <c r="E1648" i="30"/>
  <c r="E1624" i="30"/>
  <c r="E1613" i="30"/>
  <c r="E1066" i="30"/>
  <c r="E2577" i="30"/>
  <c r="E2497" i="30"/>
  <c r="E2352" i="30"/>
  <c r="E2210" i="30"/>
  <c r="E2439" i="30"/>
  <c r="E2343" i="30"/>
  <c r="E2239" i="30"/>
  <c r="E2127" i="30"/>
  <c r="E1958" i="30"/>
  <c r="E1615" i="30"/>
  <c r="E2430" i="30"/>
  <c r="E2270" i="30"/>
  <c r="E2051" i="30"/>
  <c r="E1632" i="30"/>
  <c r="E1706" i="30"/>
  <c r="E2388" i="30"/>
  <c r="E2064" i="30"/>
  <c r="E1186" i="30"/>
  <c r="E1886" i="30"/>
  <c r="E2146" i="30"/>
  <c r="E1681" i="30"/>
  <c r="E1661" i="30"/>
  <c r="E1021" i="30"/>
  <c r="E1489" i="30"/>
  <c r="E1202" i="30"/>
  <c r="E2809" i="30"/>
  <c r="E2745" i="30"/>
  <c r="E2681" i="30"/>
  <c r="E2617" i="30"/>
  <c r="E2553" i="30"/>
  <c r="E2489" i="30"/>
  <c r="E2402" i="30"/>
  <c r="E2299" i="30"/>
  <c r="E2197" i="30"/>
  <c r="E1455" i="30"/>
  <c r="E2415" i="30"/>
  <c r="E2351" i="30"/>
  <c r="E2287" i="30"/>
  <c r="E2223" i="30"/>
  <c r="E2159" i="30"/>
  <c r="E2070" i="30"/>
  <c r="E1942" i="30"/>
  <c r="E1749" i="30"/>
  <c r="E1490" i="30"/>
  <c r="E2454" i="30"/>
  <c r="E2342" i="30"/>
  <c r="E2238" i="30"/>
  <c r="E2142" i="30"/>
  <c r="E1907" i="30"/>
  <c r="E1610" i="30"/>
  <c r="E1937" i="30"/>
  <c r="E1479" i="30"/>
  <c r="E2396" i="30"/>
  <c r="E2212" i="30"/>
  <c r="E2032" i="30"/>
  <c r="E1649" i="30"/>
  <c r="E2139" i="30"/>
  <c r="E1870" i="30"/>
  <c r="E1175" i="30"/>
  <c r="E2075" i="30"/>
  <c r="E1700" i="30"/>
  <c r="E2089" i="30"/>
  <c r="E1293" i="30"/>
  <c r="E1658" i="30"/>
  <c r="E1989" i="30"/>
  <c r="E1241" i="30"/>
  <c r="E1788" i="30"/>
  <c r="E2018" i="30"/>
  <c r="E1185" i="30"/>
  <c r="E2002" i="30"/>
  <c r="E841" i="30"/>
  <c r="E2793" i="30"/>
  <c r="E2729" i="30"/>
  <c r="E2665" i="30"/>
  <c r="E2601" i="30"/>
  <c r="E2537" i="30"/>
  <c r="E2473" i="30"/>
  <c r="E2377" i="30"/>
  <c r="E2274" i="30"/>
  <c r="E2153" i="30"/>
  <c r="E2463" i="30"/>
  <c r="E2399" i="30"/>
  <c r="E2335" i="30"/>
  <c r="E2271" i="30"/>
  <c r="E2207" i="30"/>
  <c r="E2143" i="30"/>
  <c r="E2038" i="30"/>
  <c r="E1878" i="30"/>
  <c r="E1712" i="30"/>
  <c r="E1404" i="30"/>
  <c r="E2414" i="30"/>
  <c r="E2326" i="30"/>
  <c r="E2214" i="30"/>
  <c r="E2099" i="30"/>
  <c r="E1827" i="30"/>
  <c r="E1200" i="30"/>
  <c r="E1857" i="30"/>
  <c r="E1328" i="30"/>
  <c r="E2340" i="30"/>
  <c r="E2196" i="30"/>
  <c r="E1904" i="30"/>
  <c r="E1602" i="30"/>
  <c r="E2110" i="30"/>
  <c r="E1758" i="30"/>
  <c r="E958" i="30"/>
  <c r="E1947" i="30"/>
  <c r="E1663" i="30"/>
  <c r="E1993" i="30"/>
  <c r="E2007" i="30"/>
  <c r="E1578" i="30"/>
  <c r="E1837" i="30"/>
  <c r="E855" i="30"/>
  <c r="E1645" i="30"/>
  <c r="E1938" i="30"/>
  <c r="E1509" i="30"/>
  <c r="E2363" i="30"/>
  <c r="E2261" i="30"/>
  <c r="E2133" i="30"/>
  <c r="E2455" i="30"/>
  <c r="E2391" i="30"/>
  <c r="E2327" i="30"/>
  <c r="E2263" i="30"/>
  <c r="E2199" i="30"/>
  <c r="E2135" i="30"/>
  <c r="E2022" i="30"/>
  <c r="E1862" i="30"/>
  <c r="E1694" i="30"/>
  <c r="E1213" i="30"/>
  <c r="E2406" i="30"/>
  <c r="E2302" i="30"/>
  <c r="E2206" i="30"/>
  <c r="E2067" i="30"/>
  <c r="E1811" i="30"/>
  <c r="E418" i="30"/>
  <c r="E1809" i="30"/>
  <c r="E977" i="30"/>
  <c r="E2324" i="30"/>
  <c r="E2164" i="30"/>
  <c r="E1888" i="30"/>
  <c r="E1320" i="30"/>
  <c r="E2094" i="30"/>
  <c r="E1721" i="30"/>
  <c r="E741" i="30"/>
  <c r="E1931" i="30"/>
  <c r="E1463" i="30"/>
  <c r="E1961" i="30"/>
  <c r="E1983" i="30"/>
  <c r="E1537" i="30"/>
  <c r="E1797" i="30"/>
  <c r="E2028" i="30"/>
  <c r="E1623" i="30"/>
  <c r="E1770" i="30"/>
  <c r="E1516" i="30"/>
  <c r="E1926" i="30"/>
  <c r="E1798" i="30"/>
  <c r="E1657" i="30"/>
  <c r="E1344" i="30"/>
  <c r="E2446" i="30"/>
  <c r="E2382" i="30"/>
  <c r="E2318" i="30"/>
  <c r="E2254" i="30"/>
  <c r="E2190" i="30"/>
  <c r="E2126" i="30"/>
  <c r="E1987" i="30"/>
  <c r="E1795" i="30"/>
  <c r="E1441" i="30"/>
  <c r="E2065" i="30"/>
  <c r="E1841" i="30"/>
  <c r="E1650" i="30"/>
  <c r="E354" i="30"/>
  <c r="E2356" i="30"/>
  <c r="E2268" i="30"/>
  <c r="E2156" i="30"/>
  <c r="E2016" i="30"/>
  <c r="E1792" i="30"/>
  <c r="E1433" i="30"/>
  <c r="E2179" i="30"/>
  <c r="E2014" i="30"/>
  <c r="E1838" i="30"/>
  <c r="E1554" i="30"/>
  <c r="E2178" i="30"/>
  <c r="E2059" i="30"/>
  <c r="E1835" i="30"/>
  <c r="E1642" i="30"/>
  <c r="E154" i="30"/>
  <c r="E1801" i="30"/>
  <c r="E2119" i="30"/>
  <c r="E1815" i="30"/>
  <c r="E1514" i="30"/>
  <c r="E1973" i="30"/>
  <c r="E1656" i="30"/>
  <c r="E717" i="30"/>
  <c r="E1836" i="30"/>
  <c r="E1506" i="30"/>
  <c r="E1994" i="30"/>
  <c r="E1545" i="30"/>
  <c r="E1402" i="30"/>
  <c r="E1391" i="30"/>
  <c r="E1055" i="30"/>
  <c r="E1910" i="30"/>
  <c r="E1782" i="30"/>
  <c r="E1637" i="30"/>
  <c r="E1280" i="30"/>
  <c r="E2438" i="30"/>
  <c r="E2374" i="30"/>
  <c r="E2310" i="30"/>
  <c r="E2246" i="30"/>
  <c r="E2182" i="30"/>
  <c r="E2114" i="30"/>
  <c r="E1955" i="30"/>
  <c r="E1779" i="30"/>
  <c r="E1393" i="30"/>
  <c r="E2049" i="30"/>
  <c r="E1825" i="30"/>
  <c r="E1521" i="30"/>
  <c r="E2460" i="30"/>
  <c r="E2348" i="30"/>
  <c r="E2260" i="30"/>
  <c r="E2148" i="30"/>
  <c r="E1952" i="30"/>
  <c r="E1776" i="30"/>
  <c r="E1383" i="30"/>
  <c r="E2171" i="30"/>
  <c r="E1998" i="30"/>
  <c r="E1774" i="30"/>
  <c r="E1513" i="30"/>
  <c r="E2170" i="30"/>
  <c r="E2043" i="30"/>
  <c r="E1819" i="30"/>
  <c r="E1505" i="30"/>
  <c r="E2105" i="30"/>
  <c r="E1785" i="30"/>
  <c r="E2111" i="30"/>
  <c r="E1799" i="30"/>
  <c r="E1127" i="30"/>
  <c r="E1965" i="30"/>
  <c r="E1634" i="30"/>
  <c r="E2108" i="30"/>
  <c r="E1828" i="30"/>
  <c r="E1239" i="30"/>
  <c r="E1954" i="30"/>
  <c r="E1503" i="30"/>
  <c r="E1360" i="30"/>
  <c r="E1298" i="30"/>
  <c r="E655" i="30"/>
  <c r="E1273" i="30"/>
  <c r="E1555" i="30"/>
  <c r="E2422" i="30"/>
  <c r="E2358" i="30"/>
  <c r="E2294" i="30"/>
  <c r="E2230" i="30"/>
  <c r="E2166" i="30"/>
  <c r="E2083" i="30"/>
  <c r="E1923" i="30"/>
  <c r="E1690" i="30"/>
  <c r="E1266" i="30"/>
  <c r="E1969" i="30"/>
  <c r="E1793" i="30"/>
  <c r="E1434" i="30"/>
  <c r="E2420" i="30"/>
  <c r="E2332" i="30"/>
  <c r="E2220" i="30"/>
  <c r="E2132" i="30"/>
  <c r="E1920" i="30"/>
  <c r="E1687" i="30"/>
  <c r="E1255" i="30"/>
  <c r="E2131" i="30"/>
  <c r="E1966" i="30"/>
  <c r="E1740" i="30"/>
  <c r="E1242" i="30"/>
  <c r="E2154" i="30"/>
  <c r="E1963" i="30"/>
  <c r="E1787" i="30"/>
  <c r="E1417" i="30"/>
  <c r="E2025" i="30"/>
  <c r="E1697" i="30"/>
  <c r="E1991" i="30"/>
  <c r="E1750" i="30"/>
  <c r="E963" i="30"/>
  <c r="E1845" i="30"/>
  <c r="E1530" i="30"/>
  <c r="E2020" i="30"/>
  <c r="E1772" i="30"/>
  <c r="E945" i="30"/>
  <c r="E1866" i="30"/>
  <c r="E1149" i="30"/>
  <c r="E1082" i="30"/>
  <c r="E665" i="30"/>
  <c r="E1117" i="30"/>
  <c r="E1810" i="30"/>
  <c r="E1097" i="30"/>
  <c r="E1030" i="30"/>
  <c r="E250" i="30"/>
  <c r="E995" i="30"/>
  <c r="E1786" i="30"/>
  <c r="E1502" i="30"/>
  <c r="E1014" i="30"/>
  <c r="E1572" i="30"/>
  <c r="E1560" i="30"/>
  <c r="E1336" i="30"/>
  <c r="E1307" i="30"/>
  <c r="E2003" i="30"/>
  <c r="E1875" i="30"/>
  <c r="E1745" i="30"/>
  <c r="E1569" i="30"/>
  <c r="E1101" i="30"/>
  <c r="E2033" i="30"/>
  <c r="E1905" i="30"/>
  <c r="E1777" i="30"/>
  <c r="E1630" i="30"/>
  <c r="E1256" i="30"/>
  <c r="E2444" i="30"/>
  <c r="E2380" i="30"/>
  <c r="E2316" i="30"/>
  <c r="E2252" i="30"/>
  <c r="E2188" i="30"/>
  <c r="E2123" i="30"/>
  <c r="E2000" i="30"/>
  <c r="E1872" i="30"/>
  <c r="E1742" i="30"/>
  <c r="E1561" i="30"/>
  <c r="E1085" i="30"/>
  <c r="E2163" i="30"/>
  <c r="E2078" i="30"/>
  <c r="E1950" i="30"/>
  <c r="E1822" i="30"/>
  <c r="E1685" i="30"/>
  <c r="E1426" i="30"/>
  <c r="E271" i="30"/>
  <c r="E2138" i="30"/>
  <c r="E2027" i="30"/>
  <c r="E1899" i="30"/>
  <c r="E1771" i="30"/>
  <c r="E1622" i="30"/>
  <c r="E1231" i="30"/>
  <c r="E2073" i="30"/>
  <c r="E1913" i="30"/>
  <c r="E1640" i="30"/>
  <c r="E2071" i="30"/>
  <c r="E1919" i="30"/>
  <c r="E1732" i="30"/>
  <c r="E1407" i="30"/>
  <c r="E2093" i="30"/>
  <c r="E1909" i="30"/>
  <c r="E1729" i="30"/>
  <c r="E1466" i="30"/>
  <c r="E2092" i="30"/>
  <c r="E1916" i="30"/>
  <c r="E1764" i="30"/>
  <c r="E1465" i="30"/>
  <c r="E2082" i="30"/>
  <c r="E1930" i="30"/>
  <c r="E1689" i="30"/>
  <c r="E1606" i="30"/>
  <c r="E1338" i="30"/>
  <c r="E538" i="30"/>
  <c r="E1106" i="30"/>
  <c r="E1500" i="30"/>
  <c r="E511" i="30"/>
  <c r="E1528" i="30"/>
  <c r="E1859" i="30"/>
  <c r="E1727" i="30"/>
  <c r="E1527" i="30"/>
  <c r="E993" i="30"/>
  <c r="E2017" i="30"/>
  <c r="E1889" i="30"/>
  <c r="E1761" i="30"/>
  <c r="E1607" i="30"/>
  <c r="E1191" i="30"/>
  <c r="E2436" i="30"/>
  <c r="E2372" i="30"/>
  <c r="E2308" i="30"/>
  <c r="E2244" i="30"/>
  <c r="E2180" i="30"/>
  <c r="E2112" i="30"/>
  <c r="E1984" i="30"/>
  <c r="E1856" i="30"/>
  <c r="E1724" i="30"/>
  <c r="E1519" i="30"/>
  <c r="E974" i="30"/>
  <c r="E2155" i="30"/>
  <c r="E2062" i="30"/>
  <c r="E1934" i="30"/>
  <c r="E1806" i="30"/>
  <c r="E1666" i="30"/>
  <c r="E1375" i="30"/>
  <c r="E2194" i="30"/>
  <c r="E2130" i="30"/>
  <c r="E2011" i="30"/>
  <c r="E1883" i="30"/>
  <c r="E1754" i="30"/>
  <c r="E1591" i="30"/>
  <c r="E1152" i="30"/>
  <c r="E2057" i="30"/>
  <c r="E1865" i="30"/>
  <c r="E1543" i="30"/>
  <c r="E2055" i="30"/>
  <c r="E1879" i="30"/>
  <c r="E1722" i="30"/>
  <c r="E1351" i="30"/>
  <c r="E2053" i="30"/>
  <c r="E1901" i="30"/>
  <c r="E1711" i="30"/>
  <c r="E1343" i="30"/>
  <c r="E2084" i="30"/>
  <c r="E1900" i="30"/>
  <c r="E1719" i="30"/>
  <c r="E1442" i="30"/>
  <c r="E2066" i="30"/>
  <c r="E1890" i="30"/>
  <c r="E1680" i="30"/>
  <c r="E1582" i="30"/>
  <c r="E1237" i="30"/>
  <c r="E330" i="30"/>
  <c r="E1069" i="30"/>
  <c r="E1378" i="30"/>
  <c r="E1747" i="30"/>
  <c r="E1174" i="30"/>
  <c r="E1971" i="30"/>
  <c r="E1843" i="30"/>
  <c r="E1709" i="30"/>
  <c r="E1482" i="30"/>
  <c r="E821" i="30"/>
  <c r="E2001" i="30"/>
  <c r="E1873" i="30"/>
  <c r="E1743" i="30"/>
  <c r="E1562" i="30"/>
  <c r="E1088" i="30"/>
  <c r="E2428" i="30"/>
  <c r="E2364" i="30"/>
  <c r="E2300" i="30"/>
  <c r="E2236" i="30"/>
  <c r="E2172" i="30"/>
  <c r="E2096" i="30"/>
  <c r="E1968" i="30"/>
  <c r="E1840" i="30"/>
  <c r="E1705" i="30"/>
  <c r="E1474" i="30"/>
  <c r="E777" i="30"/>
  <c r="E2147" i="30"/>
  <c r="E2046" i="30"/>
  <c r="E1918" i="30"/>
  <c r="E1790" i="30"/>
  <c r="E1647" i="30"/>
  <c r="E1314" i="30"/>
  <c r="E2186" i="30"/>
  <c r="E2121" i="30"/>
  <c r="E1995" i="30"/>
  <c r="E1867" i="30"/>
  <c r="E1736" i="30"/>
  <c r="E1546" i="30"/>
  <c r="E1049" i="30"/>
  <c r="E2041" i="30"/>
  <c r="E1833" i="30"/>
  <c r="E1457" i="30"/>
  <c r="E2047" i="30"/>
  <c r="E1863" i="30"/>
  <c r="E1677" i="30"/>
  <c r="E1319" i="30"/>
  <c r="E2037" i="30"/>
  <c r="E1861" i="30"/>
  <c r="E1702" i="30"/>
  <c r="E1277" i="30"/>
  <c r="E2044" i="30"/>
  <c r="E1892" i="30"/>
  <c r="E1701" i="30"/>
  <c r="E1305" i="30"/>
  <c r="E2058" i="30"/>
  <c r="E1874" i="30"/>
  <c r="E1586" i="30"/>
  <c r="E1566" i="30"/>
  <c r="E1210" i="30"/>
  <c r="E1533" i="30"/>
  <c r="E999" i="30"/>
  <c r="E1357" i="30"/>
  <c r="E1619" i="30"/>
  <c r="E1110" i="30"/>
  <c r="E1493" i="30"/>
  <c r="E383" i="30"/>
  <c r="E1169" i="30"/>
  <c r="E1539" i="30"/>
  <c r="E1227" i="30"/>
  <c r="E1897" i="30"/>
  <c r="E1769" i="30"/>
  <c r="E1618" i="30"/>
  <c r="E1225" i="30"/>
  <c r="E2103" i="30"/>
  <c r="E2039" i="30"/>
  <c r="E1975" i="30"/>
  <c r="E1911" i="30"/>
  <c r="E1847" i="30"/>
  <c r="E1783" i="30"/>
  <c r="E1713" i="30"/>
  <c r="E1638" i="30"/>
  <c r="E1495" i="30"/>
  <c r="E1281" i="30"/>
  <c r="E887" i="30"/>
  <c r="E2085" i="30"/>
  <c r="E2021" i="30"/>
  <c r="E1957" i="30"/>
  <c r="E1893" i="30"/>
  <c r="E1829" i="30"/>
  <c r="E1765" i="30"/>
  <c r="E1693" i="30"/>
  <c r="E1614" i="30"/>
  <c r="E1447" i="30"/>
  <c r="E1205" i="30"/>
  <c r="E495" i="30"/>
  <c r="E2076" i="30"/>
  <c r="E2012" i="30"/>
  <c r="E1948" i="30"/>
  <c r="E1884" i="30"/>
  <c r="E1820" i="30"/>
  <c r="E1756" i="30"/>
  <c r="E1682" i="30"/>
  <c r="E1593" i="30"/>
  <c r="E1423" i="30"/>
  <c r="E1161" i="30"/>
  <c r="E202" i="30"/>
  <c r="E2050" i="30"/>
  <c r="E1986" i="30"/>
  <c r="E1922" i="30"/>
  <c r="E1850" i="30"/>
  <c r="E1762" i="30"/>
  <c r="E1671" i="30"/>
  <c r="E1458" i="30"/>
  <c r="E1047" i="30"/>
  <c r="E1550" i="30"/>
  <c r="E1454" i="30"/>
  <c r="E1327" i="30"/>
  <c r="E1160" i="30"/>
  <c r="E1002" i="30"/>
  <c r="E194" i="30"/>
  <c r="E1461" i="30"/>
  <c r="E1248" i="30"/>
  <c r="E956" i="30"/>
  <c r="E113" i="30"/>
  <c r="E1484" i="30"/>
  <c r="E1272" i="30"/>
  <c r="E1027" i="30"/>
  <c r="E1723" i="30"/>
  <c r="E1507" i="30"/>
  <c r="E950" i="30"/>
  <c r="E1162" i="30"/>
  <c r="E362" i="30"/>
  <c r="E537" i="30"/>
  <c r="E1881" i="30"/>
  <c r="E1752" i="30"/>
  <c r="E1585" i="30"/>
  <c r="E1138" i="30"/>
  <c r="E2095" i="30"/>
  <c r="E2031" i="30"/>
  <c r="E1967" i="30"/>
  <c r="E1903" i="30"/>
  <c r="E1839" i="30"/>
  <c r="E1775" i="30"/>
  <c r="E1704" i="30"/>
  <c r="E1626" i="30"/>
  <c r="E1473" i="30"/>
  <c r="E1250" i="30"/>
  <c r="E753" i="30"/>
  <c r="E2077" i="30"/>
  <c r="E2013" i="30"/>
  <c r="E1949" i="30"/>
  <c r="E1885" i="30"/>
  <c r="E1821" i="30"/>
  <c r="E1757" i="30"/>
  <c r="E1684" i="30"/>
  <c r="E1594" i="30"/>
  <c r="E1425" i="30"/>
  <c r="E1165" i="30"/>
  <c r="E210" i="30"/>
  <c r="E2068" i="30"/>
  <c r="E2004" i="30"/>
  <c r="E1940" i="30"/>
  <c r="E1876" i="30"/>
  <c r="E1812" i="30"/>
  <c r="E1746" i="30"/>
  <c r="E1673" i="30"/>
  <c r="E1570" i="30"/>
  <c r="E1396" i="30"/>
  <c r="E1111" i="30"/>
  <c r="E2106" i="30"/>
  <c r="E2042" i="30"/>
  <c r="E1978" i="30"/>
  <c r="E1914" i="30"/>
  <c r="E1834" i="30"/>
  <c r="E1753" i="30"/>
  <c r="E1662" i="30"/>
  <c r="E1416" i="30"/>
  <c r="E930" i="30"/>
  <c r="E1542" i="30"/>
  <c r="E1438" i="30"/>
  <c r="E1313" i="30"/>
  <c r="E1135" i="30"/>
  <c r="E972" i="30"/>
  <c r="E1605" i="30"/>
  <c r="E1429" i="30"/>
  <c r="E1223" i="30"/>
  <c r="E926" i="30"/>
  <c r="E1628" i="30"/>
  <c r="E1468" i="30"/>
  <c r="E1233" i="30"/>
  <c r="E996" i="30"/>
  <c r="E1699" i="30"/>
  <c r="E1435" i="30"/>
  <c r="E825" i="30"/>
  <c r="E1151" i="30"/>
  <c r="E234" i="30"/>
  <c r="E409" i="30"/>
  <c r="E1036" i="30"/>
  <c r="E2087" i="30"/>
  <c r="E2023" i="30"/>
  <c r="E1959" i="30"/>
  <c r="E1895" i="30"/>
  <c r="E1831" i="30"/>
  <c r="E1767" i="30"/>
  <c r="E1695" i="30"/>
  <c r="E1616" i="30"/>
  <c r="E1450" i="30"/>
  <c r="E1216" i="30"/>
  <c r="E554" i="30"/>
  <c r="E2069" i="30"/>
  <c r="E2005" i="30"/>
  <c r="E1941" i="30"/>
  <c r="E1877" i="30"/>
  <c r="E1813" i="30"/>
  <c r="E1748" i="30"/>
  <c r="E1674" i="30"/>
  <c r="E1575" i="30"/>
  <c r="E1397" i="30"/>
  <c r="E1113" i="30"/>
  <c r="E2124" i="30"/>
  <c r="E2060" i="30"/>
  <c r="E1996" i="30"/>
  <c r="E1932" i="30"/>
  <c r="E1868" i="30"/>
  <c r="E1804" i="30"/>
  <c r="E1737" i="30"/>
  <c r="E1664" i="30"/>
  <c r="E1551" i="30"/>
  <c r="E1365" i="30"/>
  <c r="E1058" i="30"/>
  <c r="E2098" i="30"/>
  <c r="E2034" i="30"/>
  <c r="E1970" i="30"/>
  <c r="E1906" i="30"/>
  <c r="E1826" i="30"/>
  <c r="E1744" i="30"/>
  <c r="E1641" i="30"/>
  <c r="E1386" i="30"/>
  <c r="E671" i="30"/>
  <c r="E1534" i="30"/>
  <c r="E1422" i="30"/>
  <c r="E1288" i="30"/>
  <c r="E1121" i="30"/>
  <c r="E909" i="30"/>
  <c r="E1597" i="30"/>
  <c r="E1412" i="30"/>
  <c r="E1170" i="30"/>
  <c r="E869" i="30"/>
  <c r="E1596" i="30"/>
  <c r="E1452" i="30"/>
  <c r="E1208" i="30"/>
  <c r="E922" i="30"/>
  <c r="E1683" i="30"/>
  <c r="E1399" i="30"/>
  <c r="E639" i="30"/>
  <c r="E1061" i="30"/>
  <c r="E1172" i="30"/>
  <c r="E233" i="30"/>
  <c r="E1977" i="30"/>
  <c r="E1849" i="30"/>
  <c r="E1716" i="30"/>
  <c r="E1498" i="30"/>
  <c r="E918" i="30"/>
  <c r="E2079" i="30"/>
  <c r="E2015" i="30"/>
  <c r="E1951" i="30"/>
  <c r="E1887" i="30"/>
  <c r="E1823" i="30"/>
  <c r="E1759" i="30"/>
  <c r="E1686" i="30"/>
  <c r="E1601" i="30"/>
  <c r="E1431" i="30"/>
  <c r="E1177" i="30"/>
  <c r="E287" i="30"/>
  <c r="E2061" i="30"/>
  <c r="E1997" i="30"/>
  <c r="E1933" i="30"/>
  <c r="E1869" i="30"/>
  <c r="E1805" i="30"/>
  <c r="E1738" i="30"/>
  <c r="E1665" i="30"/>
  <c r="E1553" i="30"/>
  <c r="E1372" i="30"/>
  <c r="E1063" i="30"/>
  <c r="E2116" i="30"/>
  <c r="E2052" i="30"/>
  <c r="E1988" i="30"/>
  <c r="E1924" i="30"/>
  <c r="E1860" i="30"/>
  <c r="E1796" i="30"/>
  <c r="E1728" i="30"/>
  <c r="E1655" i="30"/>
  <c r="E1529" i="30"/>
  <c r="E1340" i="30"/>
  <c r="E1003" i="30"/>
  <c r="E2090" i="30"/>
  <c r="E2026" i="30"/>
  <c r="E1962" i="30"/>
  <c r="E1898" i="30"/>
  <c r="E1818" i="30"/>
  <c r="E1735" i="30"/>
  <c r="E1621" i="30"/>
  <c r="E1361" i="30"/>
  <c r="E127" i="30"/>
  <c r="E1518" i="30"/>
  <c r="E1413" i="30"/>
  <c r="E1263" i="30"/>
  <c r="E1109" i="30"/>
  <c r="E877" i="30"/>
  <c r="E1557" i="30"/>
  <c r="E1401" i="30"/>
  <c r="E1120" i="30"/>
  <c r="E839" i="30"/>
  <c r="E1580" i="30"/>
  <c r="E1420" i="30"/>
  <c r="E1183" i="30"/>
  <c r="E761" i="30"/>
  <c r="E1659" i="30"/>
  <c r="E1321" i="30"/>
  <c r="E949" i="30"/>
  <c r="E713" i="30"/>
  <c r="E1164" i="30"/>
  <c r="E121" i="30"/>
  <c r="E1296" i="30"/>
  <c r="E861" i="30"/>
  <c r="E1206" i="30"/>
  <c r="E1355" i="30"/>
  <c r="E440" i="30"/>
  <c r="E1945" i="30"/>
  <c r="E1817" i="30"/>
  <c r="E1679" i="30"/>
  <c r="E1414" i="30"/>
  <c r="E41" i="30"/>
  <c r="E2063" i="30"/>
  <c r="E1999" i="30"/>
  <c r="E1935" i="30"/>
  <c r="E1871" i="30"/>
  <c r="E1807" i="30"/>
  <c r="E1741" i="30"/>
  <c r="E1668" i="30"/>
  <c r="E1559" i="30"/>
  <c r="E1376" i="30"/>
  <c r="E1074" i="30"/>
  <c r="E2109" i="30"/>
  <c r="E2045" i="30"/>
  <c r="E1981" i="30"/>
  <c r="E1917" i="30"/>
  <c r="E1853" i="30"/>
  <c r="E1789" i="30"/>
  <c r="E1720" i="30"/>
  <c r="E1646" i="30"/>
  <c r="E1511" i="30"/>
  <c r="E1306" i="30"/>
  <c r="E948" i="30"/>
  <c r="E2100" i="30"/>
  <c r="E2036" i="30"/>
  <c r="E1972" i="30"/>
  <c r="E1908" i="30"/>
  <c r="E1844" i="30"/>
  <c r="E1780" i="30"/>
  <c r="E1710" i="30"/>
  <c r="E1633" i="30"/>
  <c r="E1487" i="30"/>
  <c r="E1269" i="30"/>
  <c r="E845" i="30"/>
  <c r="E2074" i="30"/>
  <c r="E2010" i="30"/>
  <c r="E1946" i="30"/>
  <c r="E1882" i="30"/>
  <c r="E1802" i="30"/>
  <c r="E1698" i="30"/>
  <c r="E1567" i="30"/>
  <c r="E1229" i="30"/>
  <c r="E1598" i="30"/>
  <c r="E1486" i="30"/>
  <c r="E1381" i="30"/>
  <c r="E1224" i="30"/>
  <c r="E1057" i="30"/>
  <c r="E775" i="30"/>
  <c r="E1525" i="30"/>
  <c r="E1325" i="30"/>
  <c r="E1095" i="30"/>
  <c r="E458" i="30"/>
  <c r="E1564" i="30"/>
  <c r="E1368" i="30"/>
  <c r="E1105" i="30"/>
  <c r="E586" i="30"/>
  <c r="E1571" i="30"/>
  <c r="E1271" i="30"/>
  <c r="E1568" i="30"/>
  <c r="E1190" i="30"/>
  <c r="E1339" i="30"/>
  <c r="E705" i="30"/>
  <c r="E1589" i="30"/>
  <c r="E1477" i="30"/>
  <c r="E1369" i="30"/>
  <c r="E1209" i="30"/>
  <c r="E1042" i="30"/>
  <c r="E801" i="30"/>
  <c r="E1644" i="30"/>
  <c r="E1548" i="30"/>
  <c r="E1444" i="30"/>
  <c r="E1311" i="30"/>
  <c r="E1157" i="30"/>
  <c r="E967" i="30"/>
  <c r="E314" i="30"/>
  <c r="E1651" i="30"/>
  <c r="E1491" i="30"/>
  <c r="E1218" i="30"/>
  <c r="E1103" i="30"/>
  <c r="E1464" i="30"/>
  <c r="E482" i="30"/>
  <c r="E1070" i="30"/>
  <c r="E1068" i="30"/>
  <c r="E1015" i="30"/>
  <c r="E674" i="30"/>
  <c r="E594" i="30"/>
  <c r="E1573" i="30"/>
  <c r="E1469" i="30"/>
  <c r="E1348" i="30"/>
  <c r="E1197" i="30"/>
  <c r="E1013" i="30"/>
  <c r="E735" i="30"/>
  <c r="E1636" i="30"/>
  <c r="E1532" i="30"/>
  <c r="E1436" i="30"/>
  <c r="E1285" i="30"/>
  <c r="E1130" i="30"/>
  <c r="E954" i="30"/>
  <c r="E105" i="30"/>
  <c r="E1635" i="30"/>
  <c r="E1459" i="30"/>
  <c r="E1154" i="30"/>
  <c r="E1009" i="30"/>
  <c r="E1440" i="30"/>
  <c r="E143" i="30"/>
  <c r="E857" i="30"/>
  <c r="E1035" i="30"/>
  <c r="E679" i="30"/>
  <c r="E898" i="30"/>
  <c r="E1290" i="30"/>
  <c r="E1382" i="30"/>
  <c r="E751" i="30"/>
  <c r="E925" i="30"/>
  <c r="E65" i="30"/>
  <c r="E818" i="30"/>
  <c r="E941" i="30"/>
  <c r="E463" i="30"/>
  <c r="E1541" i="30"/>
  <c r="E1445" i="30"/>
  <c r="E1312" i="30"/>
  <c r="E1145" i="30"/>
  <c r="E985" i="30"/>
  <c r="E527" i="30"/>
  <c r="E1612" i="30"/>
  <c r="E1508" i="30"/>
  <c r="E1400" i="30"/>
  <c r="E1258" i="30"/>
  <c r="E1080" i="30"/>
  <c r="E865" i="30"/>
  <c r="E1731" i="30"/>
  <c r="E1595" i="30"/>
  <c r="E1427" i="30"/>
  <c r="E1011" i="30"/>
  <c r="E935" i="30"/>
  <c r="E1189" i="30"/>
  <c r="E1366" i="30"/>
  <c r="E490" i="30"/>
  <c r="E138" i="30"/>
  <c r="E908" i="30"/>
  <c r="E754" i="30"/>
  <c r="E442" i="30"/>
  <c r="E498" i="30"/>
  <c r="E1432" i="30"/>
  <c r="E990" i="30"/>
  <c r="E1358" i="30"/>
  <c r="E1001" i="30"/>
  <c r="E1300" i="30"/>
  <c r="E853" i="30"/>
  <c r="E1163" i="30"/>
  <c r="E860" i="30"/>
  <c r="E827" i="30"/>
  <c r="E888" i="30"/>
  <c r="E81" i="30"/>
  <c r="E367" i="30"/>
  <c r="E1384" i="30"/>
  <c r="E947" i="30"/>
  <c r="E1294" i="30"/>
  <c r="E973" i="30"/>
  <c r="E1268" i="30"/>
  <c r="E831" i="30"/>
  <c r="E1051" i="30"/>
  <c r="E772" i="30"/>
  <c r="E771" i="30"/>
  <c r="E830" i="30"/>
  <c r="E1153" i="30"/>
  <c r="E1592" i="30"/>
  <c r="E1317" i="30"/>
  <c r="E817" i="30"/>
  <c r="E1262" i="30"/>
  <c r="E964" i="30"/>
  <c r="E1204" i="30"/>
  <c r="E479" i="30"/>
  <c r="E1025" i="30"/>
  <c r="E716" i="30"/>
  <c r="E763" i="30"/>
  <c r="E790" i="30"/>
  <c r="E849" i="30"/>
  <c r="E425" i="30"/>
  <c r="E423" i="30"/>
  <c r="E333" i="30"/>
  <c r="E1858" i="30"/>
  <c r="E1794" i="30"/>
  <c r="E1726" i="30"/>
  <c r="E1653" i="30"/>
  <c r="E1522" i="30"/>
  <c r="E1330" i="30"/>
  <c r="E987" i="30"/>
  <c r="E1590" i="30"/>
  <c r="E1526" i="30"/>
  <c r="E1462" i="30"/>
  <c r="E1392" i="30"/>
  <c r="E1301" i="30"/>
  <c r="E1199" i="30"/>
  <c r="E1096" i="30"/>
  <c r="E986" i="30"/>
  <c r="E805" i="30"/>
  <c r="E399" i="30"/>
  <c r="E1581" i="30"/>
  <c r="E1517" i="30"/>
  <c r="E1453" i="30"/>
  <c r="E1380" i="30"/>
  <c r="E1287" i="30"/>
  <c r="E1184" i="30"/>
  <c r="E1081" i="30"/>
  <c r="E969" i="30"/>
  <c r="E769" i="30"/>
  <c r="E322" i="30"/>
  <c r="E1620" i="30"/>
  <c r="E1556" i="30"/>
  <c r="E1492" i="30"/>
  <c r="E1428" i="30"/>
  <c r="E1346" i="30"/>
  <c r="E1247" i="30"/>
  <c r="E1144" i="30"/>
  <c r="E1041" i="30"/>
  <c r="E903" i="30"/>
  <c r="E378" i="30"/>
  <c r="E1715" i="30"/>
  <c r="E1627" i="30"/>
  <c r="E1523" i="30"/>
  <c r="E1409" i="30"/>
  <c r="E1168" i="30"/>
  <c r="E938" i="30"/>
  <c r="E1114" i="30"/>
  <c r="E719" i="30"/>
  <c r="E1536" i="30"/>
  <c r="E1352" i="30"/>
  <c r="E1112" i="30"/>
  <c r="E676" i="30"/>
  <c r="E1318" i="30"/>
  <c r="E1166" i="30"/>
  <c r="E937" i="30"/>
  <c r="E191" i="30"/>
  <c r="E1156" i="30"/>
  <c r="E745" i="30"/>
  <c r="E1299" i="30"/>
  <c r="E961" i="30"/>
  <c r="E852" i="30"/>
  <c r="E393" i="30"/>
  <c r="E747" i="30"/>
  <c r="E706" i="30"/>
  <c r="E184" i="30"/>
  <c r="E148" i="30"/>
  <c r="E80" i="30"/>
  <c r="E1842" i="30"/>
  <c r="E1778" i="30"/>
  <c r="E1708" i="30"/>
  <c r="E1631" i="30"/>
  <c r="E1481" i="30"/>
  <c r="E1264" i="30"/>
  <c r="E813" i="30"/>
  <c r="E1574" i="30"/>
  <c r="E1510" i="30"/>
  <c r="E1446" i="30"/>
  <c r="E1370" i="30"/>
  <c r="E1274" i="30"/>
  <c r="E1173" i="30"/>
  <c r="E1071" i="30"/>
  <c r="E957" i="30"/>
  <c r="E737" i="30"/>
  <c r="E255" i="30"/>
  <c r="E1565" i="30"/>
  <c r="E1501" i="30"/>
  <c r="E1437" i="30"/>
  <c r="E1359" i="30"/>
  <c r="E1261" i="30"/>
  <c r="E1159" i="30"/>
  <c r="E1056" i="30"/>
  <c r="E940" i="30"/>
  <c r="E697" i="30"/>
  <c r="E186" i="30"/>
  <c r="E1604" i="30"/>
  <c r="E1540" i="30"/>
  <c r="E1476" i="30"/>
  <c r="E1410" i="30"/>
  <c r="E1322" i="30"/>
  <c r="E1221" i="30"/>
  <c r="E1119" i="30"/>
  <c r="E1012" i="30"/>
  <c r="E799" i="30"/>
  <c r="E242" i="30"/>
  <c r="E1691" i="30"/>
  <c r="E1603" i="30"/>
  <c r="E1499" i="30"/>
  <c r="E1356" i="30"/>
  <c r="E1143" i="30"/>
  <c r="E693" i="30"/>
  <c r="E1089" i="30"/>
  <c r="E426" i="30"/>
  <c r="E1496" i="30"/>
  <c r="E1304" i="30"/>
  <c r="E1004" i="30"/>
  <c r="E415" i="30"/>
  <c r="E1270" i="30"/>
  <c r="E1078" i="30"/>
  <c r="E773" i="30"/>
  <c r="E1284" i="30"/>
  <c r="E1044" i="30"/>
  <c r="E351" i="30"/>
  <c r="E1171" i="30"/>
  <c r="E701" i="30"/>
  <c r="E732" i="30"/>
  <c r="E137" i="30"/>
  <c r="E551" i="30"/>
  <c r="E1000" i="30"/>
  <c r="E46" i="30"/>
  <c r="E1609" i="30"/>
  <c r="E1439" i="30"/>
  <c r="E1192" i="30"/>
  <c r="E410" i="30"/>
  <c r="E1558" i="30"/>
  <c r="E1494" i="30"/>
  <c r="E1430" i="30"/>
  <c r="E1349" i="30"/>
  <c r="E1249" i="30"/>
  <c r="E1146" i="30"/>
  <c r="E1045" i="30"/>
  <c r="E929" i="30"/>
  <c r="E668" i="30"/>
  <c r="E122" i="30"/>
  <c r="E1549" i="30"/>
  <c r="E1485" i="30"/>
  <c r="E1421" i="30"/>
  <c r="E1337" i="30"/>
  <c r="E1234" i="30"/>
  <c r="E1133" i="30"/>
  <c r="E1029" i="30"/>
  <c r="E905" i="30"/>
  <c r="E591" i="30"/>
  <c r="E1652" i="30"/>
  <c r="E1588" i="30"/>
  <c r="E1524" i="30"/>
  <c r="E1460" i="30"/>
  <c r="E1389" i="30"/>
  <c r="E1297" i="30"/>
  <c r="E1194" i="30"/>
  <c r="E1093" i="30"/>
  <c r="E983" i="30"/>
  <c r="E733" i="30"/>
  <c r="E1755" i="30"/>
  <c r="E1667" i="30"/>
  <c r="E1587" i="30"/>
  <c r="E1467" i="30"/>
  <c r="E1309" i="30"/>
  <c r="E1053" i="30"/>
  <c r="E506" i="30"/>
  <c r="E978" i="30"/>
  <c r="E226" i="30"/>
  <c r="E1456" i="30"/>
  <c r="E1215" i="30"/>
  <c r="E975" i="30"/>
  <c r="E1390" i="30"/>
  <c r="E1254" i="30"/>
  <c r="E1062" i="30"/>
  <c r="E709" i="30"/>
  <c r="E1260" i="30"/>
  <c r="E989" i="30"/>
  <c r="E73" i="30"/>
  <c r="E1155" i="30"/>
  <c r="E602" i="30"/>
  <c r="E708" i="30"/>
  <c r="E891" i="30"/>
  <c r="E407" i="30"/>
  <c r="E305" i="30"/>
  <c r="E237" i="30"/>
  <c r="E1142" i="30"/>
  <c r="E1046" i="30"/>
  <c r="E927" i="30"/>
  <c r="E687" i="30"/>
  <c r="E146" i="30"/>
  <c r="E1236" i="30"/>
  <c r="E1124" i="30"/>
  <c r="E980" i="30"/>
  <c r="E725" i="30"/>
  <c r="E1419" i="30"/>
  <c r="E1275" i="30"/>
  <c r="E1115" i="30"/>
  <c r="E951" i="30"/>
  <c r="E431" i="30"/>
  <c r="E844" i="30"/>
  <c r="E649" i="30"/>
  <c r="E361" i="30"/>
  <c r="E883" i="30"/>
  <c r="E739" i="30"/>
  <c r="E343" i="30"/>
  <c r="E660" i="30"/>
  <c r="E880" i="30"/>
  <c r="E726" i="30"/>
  <c r="E8" i="30"/>
  <c r="E197" i="30"/>
  <c r="E1563" i="30"/>
  <c r="E1475" i="30"/>
  <c r="E1388" i="30"/>
  <c r="E1257" i="30"/>
  <c r="E1104" i="30"/>
  <c r="E921" i="30"/>
  <c r="E239" i="30"/>
  <c r="E1064" i="30"/>
  <c r="E823" i="30"/>
  <c r="E159" i="30"/>
  <c r="E1520" i="30"/>
  <c r="E1405" i="30"/>
  <c r="E1265" i="30"/>
  <c r="E1098" i="30"/>
  <c r="E931" i="30"/>
  <c r="E338" i="30"/>
  <c r="E1334" i="30"/>
  <c r="E1238" i="30"/>
  <c r="E1134" i="30"/>
  <c r="E1037" i="30"/>
  <c r="E917" i="30"/>
  <c r="E575" i="30"/>
  <c r="E1332" i="30"/>
  <c r="E1228" i="30"/>
  <c r="E1116" i="30"/>
  <c r="E971" i="30"/>
  <c r="E650" i="30"/>
  <c r="E1403" i="30"/>
  <c r="E1251" i="30"/>
  <c r="E1107" i="30"/>
  <c r="E942" i="30"/>
  <c r="E303" i="30"/>
  <c r="E804" i="30"/>
  <c r="E633" i="30"/>
  <c r="E297" i="30"/>
  <c r="E875" i="30"/>
  <c r="E691" i="30"/>
  <c r="E183" i="30"/>
  <c r="E628" i="30"/>
  <c r="E864" i="30"/>
  <c r="E678" i="30"/>
  <c r="E550" i="30"/>
  <c r="E603" i="30"/>
  <c r="E1367" i="30"/>
  <c r="E1245" i="30"/>
  <c r="E1065" i="30"/>
  <c r="E863" i="30"/>
  <c r="E162" i="30"/>
  <c r="E1050" i="30"/>
  <c r="E791" i="30"/>
  <c r="E1600" i="30"/>
  <c r="E1504" i="30"/>
  <c r="E1394" i="30"/>
  <c r="E1253" i="30"/>
  <c r="E1087" i="30"/>
  <c r="E847" i="30"/>
  <c r="E207" i="30"/>
  <c r="E1326" i="30"/>
  <c r="E1230" i="30"/>
  <c r="E1126" i="30"/>
  <c r="E1010" i="30"/>
  <c r="E879" i="30"/>
  <c r="E530" i="30"/>
  <c r="E1324" i="30"/>
  <c r="E1220" i="30"/>
  <c r="E1092" i="30"/>
  <c r="E953" i="30"/>
  <c r="E522" i="30"/>
  <c r="E1379" i="30"/>
  <c r="E1243" i="30"/>
  <c r="E1083" i="30"/>
  <c r="E871" i="30"/>
  <c r="E258" i="30"/>
  <c r="E796" i="30"/>
  <c r="E617" i="30"/>
  <c r="E249" i="30"/>
  <c r="E835" i="30"/>
  <c r="E683" i="30"/>
  <c r="E57" i="30"/>
  <c r="E420" i="30"/>
  <c r="E680" i="30"/>
  <c r="E140" i="30"/>
  <c r="E342" i="30"/>
  <c r="E555" i="30"/>
  <c r="E292" i="30"/>
  <c r="E513" i="30"/>
  <c r="E536" i="30"/>
  <c r="E158" i="30"/>
  <c r="E483" i="30"/>
  <c r="E1531" i="30"/>
  <c r="E1443" i="30"/>
  <c r="E1345" i="30"/>
  <c r="E1207" i="30"/>
  <c r="E1039" i="30"/>
  <c r="E727" i="30"/>
  <c r="E1167" i="30"/>
  <c r="E994" i="30"/>
  <c r="E689" i="30"/>
  <c r="E1584" i="30"/>
  <c r="E1472" i="30"/>
  <c r="E1362" i="30"/>
  <c r="E1201" i="30"/>
  <c r="E1048" i="30"/>
  <c r="E781" i="30"/>
  <c r="E1398" i="30"/>
  <c r="E1302" i="30"/>
  <c r="E1198" i="30"/>
  <c r="E1102" i="30"/>
  <c r="E991" i="30"/>
  <c r="E793" i="30"/>
  <c r="E402" i="30"/>
  <c r="E1292" i="30"/>
  <c r="E1196" i="30"/>
  <c r="E1060" i="30"/>
  <c r="E873" i="30"/>
  <c r="E394" i="30"/>
  <c r="E1347" i="30"/>
  <c r="E1219" i="30"/>
  <c r="E1043" i="30"/>
  <c r="E721" i="30"/>
  <c r="E916" i="30"/>
  <c r="E740" i="30"/>
  <c r="E521" i="30"/>
  <c r="E169" i="30"/>
  <c r="E803" i="30"/>
  <c r="E567" i="30"/>
  <c r="E890" i="30"/>
  <c r="E276" i="30"/>
  <c r="E417" i="30"/>
  <c r="E504" i="30"/>
  <c r="E134" i="30"/>
  <c r="E391" i="30"/>
  <c r="E826" i="30"/>
  <c r="E596" i="30"/>
  <c r="E114" i="30"/>
  <c r="E848" i="30"/>
  <c r="E289" i="30"/>
  <c r="E508" i="30"/>
  <c r="E400" i="30"/>
  <c r="E478" i="30"/>
  <c r="E22" i="30"/>
  <c r="E133" i="30"/>
  <c r="E283" i="30"/>
  <c r="E580" i="30"/>
  <c r="E87" i="30"/>
  <c r="E744" i="30"/>
  <c r="E47" i="30"/>
  <c r="E348" i="30"/>
  <c r="E328" i="30"/>
  <c r="E454" i="30"/>
  <c r="E589" i="30"/>
  <c r="E85" i="30"/>
  <c r="E275" i="30"/>
  <c r="E263" i="30"/>
  <c r="E802" i="30"/>
  <c r="E452" i="30"/>
  <c r="E23" i="30"/>
  <c r="E688" i="30"/>
  <c r="E15" i="30"/>
  <c r="E284" i="30"/>
  <c r="E216" i="30"/>
  <c r="E366" i="30"/>
  <c r="E517" i="30"/>
  <c r="E13" i="30"/>
  <c r="E3831" i="30"/>
  <c r="E493" i="30"/>
  <c r="E36" i="30"/>
  <c r="E4406" i="30"/>
  <c r="E167" i="30"/>
  <c r="E738" i="30"/>
  <c r="E404" i="30"/>
  <c r="E944" i="30"/>
  <c r="E641" i="30"/>
  <c r="E798" i="30"/>
  <c r="E648" i="30"/>
  <c r="E120" i="30"/>
  <c r="E230" i="30"/>
  <c r="E405" i="30"/>
  <c r="E667" i="30"/>
  <c r="E833" i="30"/>
  <c r="E450" i="30"/>
  <c r="E1739" i="30"/>
  <c r="E1675" i="30"/>
  <c r="E1611" i="30"/>
  <c r="E1547" i="30"/>
  <c r="E1483" i="30"/>
  <c r="E1418" i="30"/>
  <c r="E1335" i="30"/>
  <c r="E1232" i="30"/>
  <c r="E1129" i="30"/>
  <c r="E1023" i="30"/>
  <c r="E897" i="30"/>
  <c r="E578" i="30"/>
  <c r="E1178" i="30"/>
  <c r="E1077" i="30"/>
  <c r="E965" i="30"/>
  <c r="E757" i="30"/>
  <c r="E290" i="30"/>
  <c r="E1576" i="30"/>
  <c r="E1512" i="30"/>
  <c r="E1448" i="30"/>
  <c r="E1373" i="30"/>
  <c r="E1279" i="30"/>
  <c r="E1176" i="30"/>
  <c r="E1073" i="30"/>
  <c r="E959" i="30"/>
  <c r="E749" i="30"/>
  <c r="E282" i="30"/>
  <c r="E1374" i="30"/>
  <c r="E1310" i="30"/>
  <c r="E1246" i="30"/>
  <c r="E1182" i="30"/>
  <c r="E1118" i="30"/>
  <c r="E1054" i="30"/>
  <c r="E982" i="30"/>
  <c r="E901" i="30"/>
  <c r="E729" i="30"/>
  <c r="E447" i="30"/>
  <c r="E97" i="30"/>
  <c r="E1276" i="30"/>
  <c r="E1212" i="30"/>
  <c r="E1132" i="30"/>
  <c r="E1052" i="30"/>
  <c r="E962" i="30"/>
  <c r="E767" i="30"/>
  <c r="E434" i="30"/>
  <c r="E1411" i="30"/>
  <c r="E1315" i="30"/>
  <c r="E1235" i="30"/>
  <c r="E1147" i="30"/>
  <c r="E1034" i="30"/>
  <c r="E893" i="30"/>
  <c r="E642" i="30"/>
  <c r="E924" i="30"/>
  <c r="E836" i="30"/>
  <c r="E724" i="30"/>
  <c r="E553" i="30"/>
  <c r="E377" i="30"/>
  <c r="E153" i="30"/>
  <c r="E867" i="30"/>
  <c r="E755" i="30"/>
  <c r="E599" i="30"/>
  <c r="E359" i="30"/>
  <c r="E906" i="30"/>
  <c r="E794" i="30"/>
  <c r="E612" i="30"/>
  <c r="E324" i="30"/>
  <c r="E55" i="30"/>
  <c r="E872" i="30"/>
  <c r="E670" i="30"/>
  <c r="E209" i="30"/>
  <c r="E734" i="30"/>
  <c r="E172" i="30"/>
  <c r="E416" i="30"/>
  <c r="E96" i="30"/>
  <c r="E430" i="30"/>
  <c r="E110" i="30"/>
  <c r="E445" i="30"/>
  <c r="E125" i="30"/>
  <c r="E595" i="30"/>
  <c r="E211" i="30"/>
  <c r="E4422" i="30"/>
  <c r="E99" i="30"/>
  <c r="E4470" i="30"/>
  <c r="E91" i="30"/>
  <c r="E4758" i="30"/>
  <c r="E1193" i="30"/>
  <c r="E1090" i="30"/>
  <c r="E981" i="30"/>
  <c r="E797" i="30"/>
  <c r="E370" i="30"/>
  <c r="E1141" i="30"/>
  <c r="E1038" i="30"/>
  <c r="E919" i="30"/>
  <c r="E634" i="30"/>
  <c r="E49" i="30"/>
  <c r="E1552" i="30"/>
  <c r="E1488" i="30"/>
  <c r="E1424" i="30"/>
  <c r="E1341" i="30"/>
  <c r="E1240" i="30"/>
  <c r="E1137" i="30"/>
  <c r="E1033" i="30"/>
  <c r="E915" i="30"/>
  <c r="E623" i="30"/>
  <c r="E33" i="30"/>
  <c r="E1350" i="30"/>
  <c r="E1286" i="30"/>
  <c r="E1222" i="30"/>
  <c r="E1158" i="30"/>
  <c r="E1094" i="30"/>
  <c r="E1028" i="30"/>
  <c r="E955" i="30"/>
  <c r="E837" i="30"/>
  <c r="E658" i="30"/>
  <c r="E319" i="30"/>
  <c r="E1316" i="30"/>
  <c r="E1252" i="30"/>
  <c r="E1188" i="30"/>
  <c r="E1108" i="30"/>
  <c r="E1026" i="30"/>
  <c r="E914" i="30"/>
  <c r="E703" i="30"/>
  <c r="E306" i="30"/>
  <c r="E1371" i="30"/>
  <c r="E1291" i="30"/>
  <c r="E1211" i="30"/>
  <c r="E1099" i="30"/>
  <c r="E979" i="30"/>
  <c r="E829" i="30"/>
  <c r="E386" i="30"/>
  <c r="E900" i="30"/>
  <c r="E788" i="30"/>
  <c r="E675" i="30"/>
  <c r="E505" i="30"/>
  <c r="E281" i="30"/>
  <c r="E95" i="30"/>
  <c r="E819" i="30"/>
  <c r="E707" i="30"/>
  <c r="E535" i="30"/>
  <c r="E231" i="30"/>
  <c r="E882" i="30"/>
  <c r="E730" i="30"/>
  <c r="E484" i="30"/>
  <c r="E244" i="30"/>
  <c r="E992" i="30"/>
  <c r="E800" i="30"/>
  <c r="E449" i="30"/>
  <c r="E9" i="30"/>
  <c r="E556" i="30"/>
  <c r="E608" i="30"/>
  <c r="E288" i="30"/>
  <c r="E622" i="30"/>
  <c r="E278" i="30"/>
  <c r="E637" i="30"/>
  <c r="E317" i="30"/>
  <c r="E116" i="30"/>
  <c r="E467" i="30"/>
  <c r="E67" i="30"/>
  <c r="E4344" i="30"/>
  <c r="E939" i="30"/>
  <c r="E695" i="30"/>
  <c r="E170" i="30"/>
  <c r="E1707" i="30"/>
  <c r="E1643" i="30"/>
  <c r="E1579" i="30"/>
  <c r="E1515" i="30"/>
  <c r="E1451" i="30"/>
  <c r="E1377" i="30"/>
  <c r="E1282" i="30"/>
  <c r="E1181" i="30"/>
  <c r="E1079" i="30"/>
  <c r="E966" i="30"/>
  <c r="E759" i="30"/>
  <c r="E298" i="30"/>
  <c r="E1128" i="30"/>
  <c r="E1022" i="30"/>
  <c r="E889" i="30"/>
  <c r="E570" i="30"/>
  <c r="E1608" i="30"/>
  <c r="E1544" i="30"/>
  <c r="E1480" i="30"/>
  <c r="E1415" i="30"/>
  <c r="E1329" i="30"/>
  <c r="E1226" i="30"/>
  <c r="E1125" i="30"/>
  <c r="E1020" i="30"/>
  <c r="E885" i="30"/>
  <c r="E546" i="30"/>
  <c r="E1406" i="30"/>
  <c r="E1342" i="30"/>
  <c r="E1278" i="30"/>
  <c r="E1214" i="30"/>
  <c r="E1150" i="30"/>
  <c r="E1086" i="30"/>
  <c r="E1019" i="30"/>
  <c r="E946" i="30"/>
  <c r="E815" i="30"/>
  <c r="E618" i="30"/>
  <c r="E274" i="30"/>
  <c r="E1308" i="30"/>
  <c r="E1244" i="30"/>
  <c r="E1180" i="30"/>
  <c r="E1100" i="30"/>
  <c r="E998" i="30"/>
  <c r="E895" i="30"/>
  <c r="E681" i="30"/>
  <c r="E178" i="30"/>
  <c r="E1363" i="30"/>
  <c r="E1283" i="30"/>
  <c r="E1179" i="30"/>
  <c r="E1091" i="30"/>
  <c r="E970" i="30"/>
  <c r="E807" i="30"/>
  <c r="E346" i="30"/>
  <c r="E868" i="30"/>
  <c r="E780" i="30"/>
  <c r="E663" i="30"/>
  <c r="E489" i="30"/>
  <c r="E265" i="30"/>
  <c r="E899" i="30"/>
  <c r="E811" i="30"/>
  <c r="E699" i="30"/>
  <c r="E519" i="30"/>
  <c r="E215" i="30"/>
  <c r="E834" i="30"/>
  <c r="E714" i="30"/>
  <c r="E468" i="30"/>
  <c r="E228" i="30"/>
  <c r="E976" i="30"/>
  <c r="E760" i="30"/>
  <c r="E433" i="30"/>
  <c r="E910" i="30"/>
  <c r="E540" i="30"/>
  <c r="E600" i="30"/>
  <c r="E280" i="30"/>
  <c r="E582" i="30"/>
  <c r="E262" i="30"/>
  <c r="E621" i="30"/>
  <c r="E301" i="30"/>
  <c r="E100" i="30"/>
  <c r="E411" i="30"/>
  <c r="E50" i="30"/>
  <c r="E4512" i="30"/>
  <c r="E387" i="30"/>
  <c r="E34" i="30"/>
  <c r="E524" i="30"/>
  <c r="E156" i="30"/>
  <c r="E592" i="30"/>
  <c r="E408" i="30"/>
  <c r="E224" i="30"/>
  <c r="E88" i="30"/>
  <c r="E558" i="30"/>
  <c r="E422" i="30"/>
  <c r="E238" i="30"/>
  <c r="E70" i="30"/>
  <c r="E597" i="30"/>
  <c r="E429" i="30"/>
  <c r="E277" i="30"/>
  <c r="E109" i="30"/>
  <c r="E52" i="30"/>
  <c r="E579" i="30"/>
  <c r="E403" i="30"/>
  <c r="E259" i="30"/>
  <c r="E83" i="30"/>
  <c r="E3639" i="30"/>
  <c r="E4438" i="30"/>
  <c r="E4488" i="30"/>
  <c r="E894" i="30"/>
  <c r="E718" i="30"/>
  <c r="E396" i="30"/>
  <c r="E124" i="30"/>
  <c r="E528" i="30"/>
  <c r="E392" i="30"/>
  <c r="E208" i="30"/>
  <c r="E24" i="30"/>
  <c r="E542" i="30"/>
  <c r="E358" i="30"/>
  <c r="E222" i="30"/>
  <c r="E38" i="30"/>
  <c r="E533" i="30"/>
  <c r="E397" i="30"/>
  <c r="E213" i="30"/>
  <c r="E77" i="30"/>
  <c r="E12" i="30"/>
  <c r="E515" i="30"/>
  <c r="E363" i="30"/>
  <c r="E195" i="30"/>
  <c r="E43" i="30"/>
  <c r="E3953" i="30"/>
  <c r="E4606" i="30"/>
  <c r="E2672" i="30"/>
  <c r="E952" i="30"/>
  <c r="E784" i="30"/>
  <c r="E593" i="30"/>
  <c r="E257" i="30"/>
  <c r="E846" i="30"/>
  <c r="E702" i="30"/>
  <c r="E380" i="30"/>
  <c r="E71" i="30"/>
  <c r="E520" i="30"/>
  <c r="E336" i="30"/>
  <c r="E200" i="30"/>
  <c r="E16" i="30"/>
  <c r="E534" i="30"/>
  <c r="E350" i="30"/>
  <c r="E166" i="30"/>
  <c r="E30" i="30"/>
  <c r="E525" i="30"/>
  <c r="E389" i="30"/>
  <c r="E205" i="30"/>
  <c r="E21" i="30"/>
  <c r="E491" i="30"/>
  <c r="E355" i="30"/>
  <c r="E171" i="30"/>
  <c r="E98" i="30"/>
  <c r="E4145" i="30"/>
  <c r="E4654" i="30"/>
  <c r="E3954" i="30"/>
  <c r="E299" i="30"/>
  <c r="E163" i="30"/>
  <c r="E66" i="30"/>
  <c r="E4167" i="30"/>
  <c r="E4718" i="30"/>
  <c r="E4759" i="30"/>
  <c r="E752" i="30"/>
  <c r="E465" i="30"/>
  <c r="E193" i="30"/>
  <c r="E806" i="30"/>
  <c r="E604" i="30"/>
  <c r="E300" i="30"/>
  <c r="E632" i="30"/>
  <c r="E480" i="30"/>
  <c r="E312" i="30"/>
  <c r="E136" i="30"/>
  <c r="E646" i="30"/>
  <c r="E470" i="30"/>
  <c r="E326" i="30"/>
  <c r="E150" i="30"/>
  <c r="E645" i="30"/>
  <c r="E509" i="30"/>
  <c r="E325" i="30"/>
  <c r="E189" i="30"/>
  <c r="E611" i="30"/>
  <c r="E475" i="30"/>
  <c r="E291" i="30"/>
  <c r="E155" i="30"/>
  <c r="E58" i="30"/>
  <c r="E4358" i="30"/>
  <c r="E2608" i="30"/>
  <c r="E4480" i="30"/>
  <c r="E3890" i="30"/>
  <c r="E4042" i="30"/>
  <c r="E4670" i="30"/>
  <c r="E4534" i="30"/>
  <c r="E4350" i="30"/>
  <c r="E4103" i="30"/>
  <c r="E3041" i="30"/>
  <c r="E74" i="30"/>
  <c r="E51" i="30"/>
  <c r="E115" i="30"/>
  <c r="E179" i="30"/>
  <c r="E243" i="30"/>
  <c r="E307" i="30"/>
  <c r="E371" i="30"/>
  <c r="E435" i="30"/>
  <c r="E499" i="30"/>
  <c r="E563" i="30"/>
  <c r="E627" i="30"/>
  <c r="E20" i="30"/>
  <c r="E84" i="30"/>
  <c r="E29" i="30"/>
  <c r="E93" i="30"/>
  <c r="E157" i="30"/>
  <c r="E221" i="30"/>
  <c r="E285" i="30"/>
  <c r="E349" i="30"/>
  <c r="E413" i="30"/>
  <c r="E477" i="30"/>
  <c r="E541" i="30"/>
  <c r="E605" i="30"/>
  <c r="E669" i="30"/>
  <c r="E54" i="30"/>
  <c r="E118" i="30"/>
  <c r="E182" i="30"/>
  <c r="E246" i="30"/>
  <c r="E310" i="30"/>
  <c r="E374" i="30"/>
  <c r="E438" i="30"/>
  <c r="E502" i="30"/>
  <c r="E566" i="30"/>
  <c r="E630" i="30"/>
  <c r="E40" i="30"/>
  <c r="E104" i="30"/>
  <c r="E168" i="30"/>
  <c r="E232" i="30"/>
  <c r="E296" i="30"/>
  <c r="E360" i="30"/>
  <c r="E424" i="30"/>
  <c r="E488" i="30"/>
  <c r="E552" i="30"/>
  <c r="E616" i="30"/>
  <c r="E7" i="30"/>
  <c r="E188" i="30"/>
  <c r="E316" i="30"/>
  <c r="E444" i="30"/>
  <c r="E572" i="30"/>
  <c r="E686" i="30"/>
  <c r="E750" i="30"/>
  <c r="E814" i="30"/>
  <c r="E878" i="30"/>
  <c r="E79" i="30"/>
  <c r="E225" i="30"/>
  <c r="E353" i="30"/>
  <c r="E481" i="30"/>
  <c r="E609" i="30"/>
  <c r="E704" i="30"/>
  <c r="E768" i="30"/>
  <c r="E832" i="30"/>
  <c r="E896" i="30"/>
  <c r="E960" i="30"/>
  <c r="E1024" i="30"/>
  <c r="E132" i="30"/>
  <c r="E260" i="30"/>
  <c r="E388" i="30"/>
  <c r="E516" i="30"/>
  <c r="E644" i="30"/>
  <c r="E722" i="30"/>
  <c r="E786" i="30"/>
  <c r="E850" i="30"/>
  <c r="E25" i="30"/>
  <c r="E199" i="30"/>
  <c r="E327" i="30"/>
  <c r="E455" i="30"/>
  <c r="E583" i="30"/>
  <c r="E4975" i="30"/>
  <c r="E2952" i="30"/>
  <c r="E4918" i="30"/>
  <c r="E4662" i="30"/>
  <c r="E4502" i="30"/>
  <c r="E4342" i="30"/>
  <c r="E3975" i="30"/>
  <c r="E2938" i="30"/>
  <c r="E82" i="30"/>
  <c r="E59" i="30"/>
  <c r="E123" i="30"/>
  <c r="E187" i="30"/>
  <c r="E251" i="30"/>
  <c r="E315" i="30"/>
  <c r="E379" i="30"/>
  <c r="E443" i="30"/>
  <c r="E507" i="30"/>
  <c r="E571" i="30"/>
  <c r="E635" i="30"/>
  <c r="E28" i="30"/>
  <c r="E92" i="30"/>
  <c r="E37" i="30"/>
  <c r="E101" i="30"/>
  <c r="E165" i="30"/>
  <c r="E229" i="30"/>
  <c r="E293" i="30"/>
  <c r="E357" i="30"/>
  <c r="E421" i="30"/>
  <c r="E485" i="30"/>
  <c r="E549" i="30"/>
  <c r="E613" i="30"/>
  <c r="E677" i="30"/>
  <c r="E62" i="30"/>
  <c r="E126" i="30"/>
  <c r="E190" i="30"/>
  <c r="E254" i="30"/>
  <c r="E318" i="30"/>
  <c r="E382" i="30"/>
  <c r="E446" i="30"/>
  <c r="E510" i="30"/>
  <c r="E574" i="30"/>
  <c r="E638" i="30"/>
  <c r="E48" i="30"/>
  <c r="E112" i="30"/>
  <c r="E176" i="30"/>
  <c r="E240" i="30"/>
  <c r="E304" i="30"/>
  <c r="E368" i="30"/>
  <c r="E432" i="30"/>
  <c r="E496" i="30"/>
  <c r="E560" i="30"/>
  <c r="E624" i="30"/>
  <c r="E39" i="30"/>
  <c r="E204" i="30"/>
  <c r="E332" i="30"/>
  <c r="E460" i="30"/>
  <c r="E588" i="30"/>
  <c r="E694" i="30"/>
  <c r="E758" i="30"/>
  <c r="E822" i="30"/>
  <c r="E886" i="30"/>
  <c r="E111" i="30"/>
  <c r="E241" i="30"/>
  <c r="E369" i="30"/>
  <c r="E497" i="30"/>
  <c r="E625" i="30"/>
  <c r="E712" i="30"/>
  <c r="E776" i="30"/>
  <c r="E840" i="30"/>
  <c r="E904" i="30"/>
  <c r="E968" i="30"/>
  <c r="E1032" i="30"/>
  <c r="E4719" i="30"/>
  <c r="E4768" i="30"/>
  <c r="E4862" i="30"/>
  <c r="E4630" i="30"/>
  <c r="E4462" i="30"/>
  <c r="E4282" i="30"/>
  <c r="E3930" i="30"/>
  <c r="E18" i="30"/>
  <c r="E11" i="30"/>
  <c r="E75" i="30"/>
  <c r="E139" i="30"/>
  <c r="E203" i="30"/>
  <c r="E267" i="30"/>
  <c r="E331" i="30"/>
  <c r="E395" i="30"/>
  <c r="E459" i="30"/>
  <c r="E523" i="30"/>
  <c r="E587" i="30"/>
  <c r="E651" i="30"/>
  <c r="E44" i="30"/>
  <c r="E108" i="30"/>
  <c r="E53" i="30"/>
  <c r="E117" i="30"/>
  <c r="E181" i="30"/>
  <c r="E245" i="30"/>
  <c r="E309" i="30"/>
  <c r="E373" i="30"/>
  <c r="E437" i="30"/>
  <c r="E501" i="30"/>
  <c r="E565" i="30"/>
  <c r="E629" i="30"/>
  <c r="E14" i="30"/>
  <c r="E78" i="30"/>
  <c r="E142" i="30"/>
  <c r="E206" i="30"/>
  <c r="E270" i="30"/>
  <c r="E334" i="30"/>
  <c r="E398" i="30"/>
  <c r="E462" i="30"/>
  <c r="E526" i="30"/>
  <c r="E590" i="30"/>
  <c r="E654" i="30"/>
  <c r="E64" i="30"/>
  <c r="E128" i="30"/>
  <c r="E192" i="30"/>
  <c r="E256" i="30"/>
  <c r="E320" i="30"/>
  <c r="E384" i="30"/>
  <c r="E448" i="30"/>
  <c r="E512" i="30"/>
  <c r="E576" i="30"/>
  <c r="E640" i="30"/>
  <c r="E103" i="30"/>
  <c r="E236" i="30"/>
  <c r="E364" i="30"/>
  <c r="E492" i="30"/>
  <c r="E620" i="30"/>
  <c r="E710" i="30"/>
  <c r="E774" i="30"/>
  <c r="E838" i="30"/>
  <c r="E902" i="30"/>
  <c r="E145" i="30"/>
  <c r="E273" i="30"/>
  <c r="E401" i="30"/>
  <c r="E529" i="30"/>
  <c r="E657" i="30"/>
  <c r="E728" i="30"/>
  <c r="E792" i="30"/>
  <c r="E856" i="30"/>
  <c r="E920" i="30"/>
  <c r="E984" i="30"/>
  <c r="E17" i="30"/>
  <c r="E180" i="30"/>
  <c r="E308" i="30"/>
  <c r="E436" i="30"/>
  <c r="E564" i="30"/>
  <c r="E682" i="30"/>
  <c r="E746" i="30"/>
  <c r="E810" i="30"/>
  <c r="E874" i="30"/>
  <c r="E119" i="30"/>
  <c r="E247" i="30"/>
  <c r="E375" i="30"/>
  <c r="E503" i="30"/>
  <c r="E631" i="30"/>
  <c r="E4504" i="30"/>
  <c r="E4631" i="30"/>
  <c r="E4273" i="30"/>
  <c r="E4566" i="30"/>
  <c r="E4334" i="30"/>
  <c r="E3319" i="30"/>
  <c r="E19" i="30"/>
  <c r="E107" i="30"/>
  <c r="E219" i="30"/>
  <c r="E323" i="30"/>
  <c r="E419" i="30"/>
  <c r="E531" i="30"/>
  <c r="E619" i="30"/>
  <c r="E60" i="30"/>
  <c r="E45" i="30"/>
  <c r="E141" i="30"/>
  <c r="E253" i="30"/>
  <c r="E341" i="30"/>
  <c r="E453" i="30"/>
  <c r="E557" i="30"/>
  <c r="E653" i="30"/>
  <c r="E86" i="30"/>
  <c r="E174" i="30"/>
  <c r="E286" i="30"/>
  <c r="E390" i="30"/>
  <c r="E486" i="30"/>
  <c r="E598" i="30"/>
  <c r="E32" i="30"/>
  <c r="E144" i="30"/>
  <c r="E248" i="30"/>
  <c r="E344" i="30"/>
  <c r="E456" i="30"/>
  <c r="E544" i="30"/>
  <c r="E656" i="30"/>
  <c r="E220" i="30"/>
  <c r="E412" i="30"/>
  <c r="E636" i="30"/>
  <c r="E742" i="30"/>
  <c r="E854" i="30"/>
  <c r="E129" i="30"/>
  <c r="E321" i="30"/>
  <c r="E545" i="30"/>
  <c r="E696" i="30"/>
  <c r="E808" i="30"/>
  <c r="E912" i="30"/>
  <c r="E1008" i="30"/>
  <c r="E164" i="30"/>
  <c r="E340" i="30"/>
  <c r="E500" i="30"/>
  <c r="E673" i="30"/>
  <c r="E762" i="30"/>
  <c r="E842" i="30"/>
  <c r="E89" i="30"/>
  <c r="E279" i="30"/>
  <c r="E439" i="30"/>
  <c r="E615" i="30"/>
  <c r="E715" i="30"/>
  <c r="E779" i="30"/>
  <c r="E843" i="30"/>
  <c r="E907" i="30"/>
  <c r="E185" i="30"/>
  <c r="E313" i="30"/>
  <c r="E441" i="30"/>
  <c r="E569" i="30"/>
  <c r="E684" i="30"/>
  <c r="E748" i="30"/>
  <c r="E812" i="30"/>
  <c r="E876" i="30"/>
  <c r="E130" i="30"/>
  <c r="E474" i="30"/>
  <c r="E743" i="30"/>
  <c r="E913" i="30"/>
  <c r="E988" i="30"/>
  <c r="E1059" i="30"/>
  <c r="E1123" i="30"/>
  <c r="E1187" i="30"/>
  <c r="E4297" i="30"/>
  <c r="E4886" i="30"/>
  <c r="E4550" i="30"/>
  <c r="E4245" i="30"/>
  <c r="E3144" i="30"/>
  <c r="E27" i="30"/>
  <c r="E131" i="30"/>
  <c r="E227" i="30"/>
  <c r="E339" i="30"/>
  <c r="E427" i="30"/>
  <c r="E539" i="30"/>
  <c r="E643" i="30"/>
  <c r="E68" i="30"/>
  <c r="E61" i="30"/>
  <c r="E149" i="30"/>
  <c r="E261" i="30"/>
  <c r="E365" i="30"/>
  <c r="E461" i="30"/>
  <c r="E573" i="30"/>
  <c r="E661" i="30"/>
  <c r="E94" i="30"/>
  <c r="E198" i="30"/>
  <c r="E294" i="30"/>
  <c r="E406" i="30"/>
  <c r="E494" i="30"/>
  <c r="E606" i="30"/>
  <c r="E56" i="30"/>
  <c r="E152" i="30"/>
  <c r="E264" i="30"/>
  <c r="E352" i="30"/>
  <c r="E464" i="30"/>
  <c r="E568" i="30"/>
  <c r="E664" i="30"/>
  <c r="E252" i="30"/>
  <c r="E428" i="30"/>
  <c r="E652" i="30"/>
  <c r="E766" i="30"/>
  <c r="E862" i="30"/>
  <c r="E161" i="30"/>
  <c r="E337" i="30"/>
  <c r="E561" i="30"/>
  <c r="E720" i="30"/>
  <c r="E816" i="30"/>
  <c r="E928" i="30"/>
  <c r="E1016" i="30"/>
  <c r="E196" i="30"/>
  <c r="E356" i="30"/>
  <c r="E532" i="30"/>
  <c r="E690" i="30"/>
  <c r="E770" i="30"/>
  <c r="E858" i="30"/>
  <c r="E135" i="30"/>
  <c r="E295" i="30"/>
  <c r="E471" i="30"/>
  <c r="E647" i="30"/>
  <c r="E723" i="30"/>
  <c r="E787" i="30"/>
  <c r="E851" i="30"/>
  <c r="E31" i="30"/>
  <c r="E201" i="30"/>
  <c r="E329" i="30"/>
  <c r="E457" i="30"/>
  <c r="E585" i="30"/>
  <c r="E692" i="30"/>
  <c r="E756" i="30"/>
  <c r="E820" i="30"/>
  <c r="E884" i="30"/>
  <c r="E175" i="30"/>
  <c r="E514" i="30"/>
  <c r="E765" i="30"/>
  <c r="E923" i="30"/>
  <c r="E997" i="30"/>
  <c r="E1067" i="30"/>
  <c r="E1131" i="30"/>
  <c r="E1195" i="30"/>
  <c r="E1259" i="30"/>
  <c r="E1323" i="30"/>
  <c r="E1387" i="30"/>
  <c r="E223" i="30"/>
  <c r="E562" i="30"/>
  <c r="E789" i="30"/>
  <c r="E934" i="30"/>
  <c r="E1007" i="30"/>
  <c r="E1076" i="30"/>
  <c r="E1140" i="30"/>
  <c r="E4105" i="30"/>
  <c r="E4782" i="30"/>
  <c r="E4542" i="30"/>
  <c r="E4207" i="30"/>
  <c r="E10" i="30"/>
  <c r="E35" i="30"/>
  <c r="E147" i="30"/>
  <c r="E235" i="30"/>
  <c r="E347" i="30"/>
  <c r="E451" i="30"/>
  <c r="E547" i="30"/>
  <c r="E659" i="30"/>
  <c r="E76" i="30"/>
  <c r="E69" i="30"/>
  <c r="E173" i="30"/>
  <c r="E269" i="30"/>
  <c r="E381" i="30"/>
  <c r="E469" i="30"/>
  <c r="E581" i="30"/>
  <c r="E102" i="30"/>
  <c r="E214" i="30"/>
  <c r="E302" i="30"/>
  <c r="E414" i="30"/>
  <c r="E518" i="30"/>
  <c r="E614" i="30"/>
  <c r="E72" i="30"/>
  <c r="E160" i="30"/>
  <c r="E272" i="30"/>
  <c r="E376" i="30"/>
  <c r="E472" i="30"/>
  <c r="E584" i="30"/>
  <c r="E672" i="30"/>
  <c r="E268" i="30"/>
  <c r="E476" i="30"/>
  <c r="E666" i="30"/>
  <c r="E782" i="30"/>
  <c r="E870" i="30"/>
  <c r="E177" i="30"/>
  <c r="E385" i="30"/>
  <c r="E577" i="30"/>
  <c r="E736" i="30"/>
  <c r="E824" i="30"/>
  <c r="E936" i="30"/>
  <c r="E1040" i="30"/>
  <c r="E212" i="30"/>
  <c r="E372" i="30"/>
  <c r="E548" i="30"/>
  <c r="E698" i="30"/>
  <c r="E778" i="30"/>
  <c r="E866" i="30"/>
  <c r="E151" i="30"/>
  <c r="E311" i="30"/>
  <c r="E487" i="30"/>
  <c r="E662" i="30"/>
  <c r="E731" i="30"/>
  <c r="E795" i="30"/>
  <c r="E859" i="30"/>
  <c r="E63" i="30"/>
  <c r="E217" i="30"/>
  <c r="E345" i="30"/>
  <c r="E473" i="30"/>
  <c r="E601" i="30"/>
  <c r="E700" i="30"/>
  <c r="E764" i="30"/>
  <c r="E828" i="30"/>
  <c r="E892" i="30"/>
  <c r="E218" i="30"/>
  <c r="E559" i="30"/>
  <c r="E785" i="30"/>
  <c r="E933" i="30"/>
  <c r="E1006" i="30"/>
  <c r="E1075" i="30"/>
  <c r="E1139" i="30"/>
  <c r="E1203" i="30"/>
  <c r="E1267" i="30"/>
  <c r="E1331" i="30"/>
  <c r="E1395" i="30"/>
  <c r="E266" i="30"/>
  <c r="E607" i="30"/>
  <c r="E809" i="30"/>
  <c r="E943" i="30"/>
  <c r="E1017" i="30"/>
  <c r="E1084" i="30"/>
  <c r="E1148" i="30"/>
  <c r="E4974" i="30"/>
  <c r="E4848" i="30"/>
  <c r="E4335" i="30"/>
  <c r="E4568" i="30"/>
  <c r="E4734" i="30"/>
  <c r="E4982" i="30"/>
  <c r="E4904" i="30"/>
  <c r="E4559" i="30"/>
  <c r="E3511" i="30"/>
  <c r="E3994" i="30"/>
  <c r="E4257" i="30"/>
  <c r="E4374" i="30"/>
  <c r="E4478" i="30"/>
  <c r="E4590" i="30"/>
  <c r="E4678" i="30"/>
  <c r="E4790" i="30"/>
  <c r="E4990" i="30"/>
  <c r="E4536" i="30"/>
  <c r="E3155" i="30"/>
  <c r="E4375" i="30"/>
  <c r="E4783" i="30"/>
  <c r="E4946" i="30"/>
  <c r="E3575" i="30"/>
  <c r="E4039" i="30"/>
  <c r="E4271" i="30"/>
  <c r="E4398" i="30"/>
  <c r="E4486" i="30"/>
  <c r="E4598" i="30"/>
  <c r="E4694" i="30"/>
  <c r="E4806" i="30"/>
  <c r="E3399" i="30"/>
  <c r="E4648" i="30"/>
  <c r="E3455" i="30"/>
  <c r="E4407" i="30"/>
  <c r="E4815" i="30"/>
  <c r="E4978" i="30"/>
  <c r="E4527" i="30"/>
  <c r="E4919" i="30"/>
  <c r="E4852" i="30"/>
  <c r="E3703" i="30"/>
  <c r="E4122" i="30"/>
  <c r="E4309" i="30"/>
  <c r="E4414" i="30"/>
  <c r="E4526" i="30"/>
  <c r="E4614" i="30"/>
  <c r="E4726" i="30"/>
  <c r="E4870" i="30"/>
  <c r="E4170" i="30"/>
  <c r="E4824" i="30"/>
  <c r="E3935" i="30"/>
  <c r="E4535" i="30"/>
  <c r="E4943" i="30"/>
  <c r="E4798" i="30"/>
  <c r="E4910" i="30"/>
  <c r="E2963" i="30"/>
  <c r="E4320" i="30"/>
  <c r="E4576" i="30"/>
  <c r="E4880" i="30"/>
  <c r="E3391" i="30"/>
  <c r="E4018" i="30"/>
  <c r="E4399" i="30"/>
  <c r="E4591" i="30"/>
  <c r="E4791" i="30"/>
  <c r="E3463" i="30"/>
  <c r="E4776" i="30"/>
  <c r="E4922" i="30"/>
  <c r="E3895" i="30"/>
  <c r="E4840" i="30"/>
  <c r="E4802" i="30"/>
  <c r="E4822" i="30"/>
  <c r="E4926" i="30"/>
  <c r="E3914" i="30"/>
  <c r="E4368" i="30"/>
  <c r="E4672" i="30"/>
  <c r="E4944" i="30"/>
  <c r="E3519" i="30"/>
  <c r="E4208" i="30"/>
  <c r="E4431" i="30"/>
  <c r="E4655" i="30"/>
  <c r="E4847" i="30"/>
  <c r="E3959" i="30"/>
  <c r="E4856" i="30"/>
  <c r="E4834" i="30"/>
  <c r="E4846" i="30"/>
  <c r="E4934" i="30"/>
  <c r="E3937" i="30"/>
  <c r="E4400" i="30"/>
  <c r="E4696" i="30"/>
  <c r="E4506" i="30"/>
  <c r="E3583" i="30"/>
  <c r="E4247" i="30"/>
  <c r="E4463" i="30"/>
  <c r="E4663" i="30"/>
  <c r="E4887" i="30"/>
  <c r="E4129" i="30"/>
  <c r="E4912" i="30"/>
  <c r="E4930" i="30"/>
  <c r="E4854" i="30"/>
  <c r="E4950" i="30"/>
  <c r="E4001" i="30"/>
  <c r="E4464" i="30"/>
  <c r="E4720" i="30"/>
  <c r="E4722" i="30"/>
  <c r="E3711" i="30"/>
  <c r="E4258" i="30"/>
  <c r="E4503" i="30"/>
  <c r="E4687" i="30"/>
  <c r="E4911" i="30"/>
  <c r="E4408" i="30"/>
  <c r="E4850" i="30"/>
  <c r="E4812" i="30"/>
  <c r="E106" i="30"/>
  <c r="E42" i="30"/>
  <c r="E3244" i="30"/>
  <c r="E3767" i="30"/>
  <c r="E4017" i="30"/>
  <c r="E4186" i="30"/>
  <c r="E4296" i="30"/>
  <c r="E4366" i="30"/>
  <c r="E4430" i="30"/>
  <c r="E4494" i="30"/>
  <c r="E4558" i="30"/>
  <c r="E4622" i="30"/>
  <c r="E4686" i="30"/>
  <c r="E4750" i="30"/>
  <c r="E4814" i="30"/>
  <c r="E4878" i="30"/>
  <c r="E4942" i="30"/>
  <c r="E3169" i="30"/>
  <c r="E4106" i="30"/>
  <c r="E4384" i="30"/>
  <c r="E4560" i="30"/>
  <c r="E4744" i="30"/>
  <c r="E4920" i="30"/>
  <c r="E3052" i="30"/>
  <c r="E3647" i="30"/>
  <c r="E4041" i="30"/>
  <c r="E4311" i="30"/>
  <c r="E4439" i="30"/>
  <c r="E4567" i="30"/>
  <c r="E4695" i="30"/>
  <c r="E4823" i="30"/>
  <c r="E4951" i="30"/>
  <c r="E4151" i="30"/>
  <c r="E4592" i="30"/>
  <c r="E4928" i="30"/>
  <c r="E4884" i="30"/>
  <c r="E4962" i="30"/>
  <c r="E4287" i="30"/>
  <c r="E4656" i="30"/>
  <c r="E4514" i="30"/>
  <c r="E4980" i="30"/>
  <c r="E4964" i="30"/>
  <c r="E90" i="30"/>
  <c r="E26" i="30"/>
  <c r="E3383" i="30"/>
  <c r="E3889" i="30"/>
  <c r="E4058" i="30"/>
  <c r="E4218" i="30"/>
  <c r="E4318" i="30"/>
  <c r="E4382" i="30"/>
  <c r="E4446" i="30"/>
  <c r="E4510" i="30"/>
  <c r="E4574" i="30"/>
  <c r="E4638" i="30"/>
  <c r="E4702" i="30"/>
  <c r="E4766" i="30"/>
  <c r="E4830" i="30"/>
  <c r="E4894" i="30"/>
  <c r="E4958" i="30"/>
  <c r="E3591" i="30"/>
  <c r="E4209" i="30"/>
  <c r="E4424" i="30"/>
  <c r="E4600" i="30"/>
  <c r="E4784" i="30"/>
  <c r="E4968" i="30"/>
  <c r="E3258" i="30"/>
  <c r="E3775" i="30"/>
  <c r="E4127" i="30"/>
  <c r="E4343" i="30"/>
  <c r="E4471" i="30"/>
  <c r="E4599" i="30"/>
  <c r="E4727" i="30"/>
  <c r="E4855" i="30"/>
  <c r="E4983" i="30"/>
  <c r="E4312" i="30"/>
  <c r="E4680" i="30"/>
  <c r="E4714" i="30"/>
  <c r="E4794" i="30"/>
  <c r="E4778" i="30"/>
  <c r="E3447" i="30"/>
  <c r="E3911" i="30"/>
  <c r="E4081" i="30"/>
  <c r="E4232" i="30"/>
  <c r="E4326" i="30"/>
  <c r="E4390" i="30"/>
  <c r="E4454" i="30"/>
  <c r="E4518" i="30"/>
  <c r="E4582" i="30"/>
  <c r="E4646" i="30"/>
  <c r="E4710" i="30"/>
  <c r="E4774" i="30"/>
  <c r="E4838" i="30"/>
  <c r="E4902" i="30"/>
  <c r="E4966" i="30"/>
  <c r="E3783" i="30"/>
  <c r="E4234" i="30"/>
  <c r="E4440" i="30"/>
  <c r="E4624" i="30"/>
  <c r="E4808" i="30"/>
  <c r="E4992" i="30"/>
  <c r="E3327" i="30"/>
  <c r="E3839" i="30"/>
  <c r="E4191" i="30"/>
  <c r="E4367" i="30"/>
  <c r="E4495" i="30"/>
  <c r="E4623" i="30"/>
  <c r="E4751" i="30"/>
  <c r="E4879" i="30"/>
  <c r="E3269" i="30"/>
  <c r="E4376" i="30"/>
  <c r="E4752" i="30"/>
  <c r="E4818" i="30"/>
  <c r="E4890" i="30"/>
  <c r="E4780" i="30"/>
  <c r="E4063" i="30"/>
  <c r="E4221" i="30"/>
  <c r="E4319" i="30"/>
  <c r="E4383" i="30"/>
  <c r="E4447" i="30"/>
  <c r="E4511" i="30"/>
  <c r="E4575" i="30"/>
  <c r="E4639" i="30"/>
  <c r="E4703" i="30"/>
  <c r="E4767" i="30"/>
  <c r="E4831" i="30"/>
  <c r="E4895" i="30"/>
  <c r="E4959" i="30"/>
  <c r="E3527" i="30"/>
  <c r="E4223" i="30"/>
  <c r="E4432" i="30"/>
  <c r="E4608" i="30"/>
  <c r="E4792" i="30"/>
  <c r="E4952" i="30"/>
  <c r="E4882" i="30"/>
  <c r="E4916" i="30"/>
  <c r="E4954" i="30"/>
  <c r="E4772" i="30"/>
  <c r="E4810" i="30"/>
  <c r="E4908" i="30"/>
  <c r="E3913" i="30"/>
  <c r="E4082" i="30"/>
  <c r="E4233" i="30"/>
  <c r="E4327" i="30"/>
  <c r="E4391" i="30"/>
  <c r="E4455" i="30"/>
  <c r="E4519" i="30"/>
  <c r="E4583" i="30"/>
  <c r="E4647" i="30"/>
  <c r="E4711" i="30"/>
  <c r="E4775" i="30"/>
  <c r="E4839" i="30"/>
  <c r="E4903" i="30"/>
  <c r="E4967" i="30"/>
  <c r="E3719" i="30"/>
  <c r="E4248" i="30"/>
  <c r="E4456" i="30"/>
  <c r="E4632" i="30"/>
  <c r="E4816" i="30"/>
  <c r="E4976" i="30"/>
  <c r="E4914" i="30"/>
  <c r="E4948" i="30"/>
  <c r="E4986" i="30"/>
  <c r="E4804" i="30"/>
  <c r="E4842" i="30"/>
  <c r="E4940" i="30"/>
  <c r="E4836" i="30"/>
  <c r="E4874" i="30"/>
  <c r="E4796" i="30"/>
  <c r="E4868" i="30"/>
  <c r="E4906" i="30"/>
  <c r="E4828" i="30"/>
  <c r="E3977" i="30"/>
  <c r="E4146" i="30"/>
  <c r="E4272" i="30"/>
  <c r="E4351" i="30"/>
  <c r="E4415" i="30"/>
  <c r="E4479" i="30"/>
  <c r="E4543" i="30"/>
  <c r="E4607" i="30"/>
  <c r="E4671" i="30"/>
  <c r="E4735" i="30"/>
  <c r="E4799" i="30"/>
  <c r="E4863" i="30"/>
  <c r="E4927" i="30"/>
  <c r="E4991" i="30"/>
  <c r="E4023" i="30"/>
  <c r="E4336" i="30"/>
  <c r="E4528" i="30"/>
  <c r="E4704" i="30"/>
  <c r="E4872" i="30"/>
  <c r="E4762" i="30"/>
  <c r="E4788" i="30"/>
  <c r="E4826" i="30"/>
  <c r="E4866" i="30"/>
  <c r="E4900" i="30"/>
  <c r="E4938" i="30"/>
  <c r="E4892" i="30"/>
  <c r="E3999" i="30"/>
  <c r="E4169" i="30"/>
  <c r="E4285" i="30"/>
  <c r="E4359" i="30"/>
  <c r="E4423" i="30"/>
  <c r="E4487" i="30"/>
  <c r="E4551" i="30"/>
  <c r="E4615" i="30"/>
  <c r="E4679" i="30"/>
  <c r="E4743" i="30"/>
  <c r="E4807" i="30"/>
  <c r="E4871" i="30"/>
  <c r="E4935" i="30"/>
  <c r="E2736" i="30"/>
  <c r="E4065" i="30"/>
  <c r="E4352" i="30"/>
  <c r="E4544" i="30"/>
  <c r="E4728" i="30"/>
  <c r="E4888" i="30"/>
  <c r="E4786" i="30"/>
  <c r="E4820" i="30"/>
  <c r="E4858" i="30"/>
  <c r="E4898" i="30"/>
  <c r="E4932" i="30"/>
  <c r="E4970" i="30"/>
  <c r="E4988" i="30"/>
  <c r="E4860" i="30"/>
  <c r="E4844" i="30"/>
  <c r="E4924" i="30"/>
  <c r="E4876" i="30"/>
  <c r="E4956" i="30"/>
  <c r="E4972" i="30"/>
  <c r="J1" i="26"/>
  <c r="A168" i="14"/>
  <c r="A166" i="14"/>
  <c r="A164" i="14"/>
  <c r="A162" i="14"/>
  <c r="A160" i="14"/>
  <c r="A158" i="14"/>
  <c r="A154" i="14"/>
  <c r="A152" i="14"/>
  <c r="A150" i="14"/>
  <c r="A148" i="14"/>
  <c r="A146" i="14"/>
  <c r="A144" i="14"/>
  <c r="A140" i="14"/>
  <c r="A138" i="14"/>
  <c r="A136" i="14"/>
  <c r="A134" i="14"/>
  <c r="A132" i="14"/>
  <c r="A130" i="14"/>
  <c r="A126" i="14"/>
  <c r="A124" i="14"/>
  <c r="A122" i="14"/>
  <c r="A120" i="14"/>
  <c r="A118" i="14"/>
  <c r="A116" i="14"/>
  <c r="A112" i="14"/>
  <c r="A110" i="14"/>
  <c r="A108" i="14"/>
  <c r="A106" i="14"/>
  <c r="A104" i="14"/>
  <c r="A102" i="14"/>
  <c r="A98" i="14"/>
  <c r="A96" i="14"/>
  <c r="A94" i="14"/>
  <c r="A92" i="14"/>
  <c r="A90" i="14"/>
  <c r="A88" i="14"/>
  <c r="A84" i="14"/>
  <c r="A82" i="14"/>
  <c r="A80" i="14"/>
  <c r="A78" i="14"/>
  <c r="A76" i="14"/>
  <c r="A74" i="14"/>
  <c r="A68" i="14"/>
  <c r="A66" i="14"/>
  <c r="A64" i="14"/>
  <c r="A62" i="14"/>
  <c r="A60" i="14"/>
  <c r="A70" i="14"/>
  <c r="B168" i="14" a="1"/>
  <c r="C168" i="14" s="1"/>
  <c r="B166" i="14" a="1"/>
  <c r="G166" i="14" s="1"/>
  <c r="B164" i="14" a="1"/>
  <c r="G164" i="14" s="1"/>
  <c r="B162" i="14" a="1"/>
  <c r="G162" i="14" s="1"/>
  <c r="D160" i="14"/>
  <c r="B160" i="14" a="1"/>
  <c r="G160" i="14" s="1"/>
  <c r="B158" i="14" a="1"/>
  <c r="G158" i="14" s="1"/>
  <c r="B154" i="14" a="1"/>
  <c r="C154" i="14" s="1"/>
  <c r="B152" i="14" a="1"/>
  <c r="G152" i="14" s="1"/>
  <c r="B150" i="14" a="1"/>
  <c r="G150" i="14" s="1"/>
  <c r="B148" i="14" a="1"/>
  <c r="G148" i="14" s="1"/>
  <c r="B146" i="14" a="1"/>
  <c r="G146" i="14" s="1"/>
  <c r="B144" i="14" a="1"/>
  <c r="G144" i="14" s="1"/>
  <c r="B140" i="14" a="1"/>
  <c r="C140" i="14" s="1"/>
  <c r="B138" i="14" a="1"/>
  <c r="G138" i="14" s="1"/>
  <c r="H136" i="14"/>
  <c r="B136" i="14" a="1"/>
  <c r="G136" i="14" s="1"/>
  <c r="B134" i="14" a="1"/>
  <c r="G134" i="14" s="1"/>
  <c r="D132" i="14"/>
  <c r="B132" i="14" a="1"/>
  <c r="G132" i="14" s="1"/>
  <c r="B130" i="14" a="1"/>
  <c r="G130" i="14" s="1"/>
  <c r="B126" i="14" a="1"/>
  <c r="C126" i="14" s="1"/>
  <c r="B124" i="14" a="1"/>
  <c r="G124" i="14" s="1"/>
  <c r="B122" i="14" a="1"/>
  <c r="G122" i="14" s="1"/>
  <c r="B120" i="14" a="1"/>
  <c r="G120" i="14" s="1"/>
  <c r="B118" i="14" a="1"/>
  <c r="G118" i="14" s="1"/>
  <c r="B116" i="14" a="1"/>
  <c r="G116" i="14" s="1"/>
  <c r="B112" i="14" a="1"/>
  <c r="C112" i="14" s="1"/>
  <c r="B110" i="14" a="1"/>
  <c r="G110" i="14" s="1"/>
  <c r="B108" i="14" a="1"/>
  <c r="G108" i="14" s="1"/>
  <c r="B106" i="14" a="1"/>
  <c r="G106" i="14" s="1"/>
  <c r="B104" i="14" a="1"/>
  <c r="G104" i="14" s="1"/>
  <c r="B102" i="14" a="1"/>
  <c r="G102" i="14" s="1"/>
  <c r="B98" i="14" a="1"/>
  <c r="C98" i="14" s="1"/>
  <c r="B96" i="14" a="1"/>
  <c r="G96" i="14" s="1"/>
  <c r="B94" i="14" a="1"/>
  <c r="G94" i="14" s="1"/>
  <c r="B92" i="14" a="1"/>
  <c r="G92" i="14" s="1"/>
  <c r="B90" i="14" a="1"/>
  <c r="G90" i="14" s="1"/>
  <c r="B88" i="14" a="1"/>
  <c r="G88" i="14" s="1"/>
  <c r="B84" i="14" a="1"/>
  <c r="C84" i="14" s="1"/>
  <c r="B82" i="14" a="1"/>
  <c r="G82" i="14" s="1"/>
  <c r="B80" i="14" a="1"/>
  <c r="G80" i="14" s="1"/>
  <c r="B78" i="14" a="1"/>
  <c r="G78" i="14" s="1"/>
  <c r="B76" i="14" a="1"/>
  <c r="G76" i="14" s="1"/>
  <c r="B74" i="14" a="1"/>
  <c r="G74" i="14" s="1"/>
  <c r="B70" i="14" a="1"/>
  <c r="C70" i="14" s="1"/>
  <c r="B68" i="14" a="1"/>
  <c r="G68" i="14" s="1"/>
  <c r="B66" i="14" a="1"/>
  <c r="G66" i="14" s="1"/>
  <c r="B64" i="14" a="1"/>
  <c r="G64" i="14" s="1"/>
  <c r="B62" i="14" a="1"/>
  <c r="G62" i="14" s="1"/>
  <c r="B60" i="14" a="1"/>
  <c r="G60" i="14" s="1"/>
  <c r="A56" i="14"/>
  <c r="A54" i="14"/>
  <c r="A52" i="14"/>
  <c r="A50" i="14"/>
  <c r="A48" i="14"/>
  <c r="A46" i="14"/>
  <c r="A42" i="14"/>
  <c r="A40" i="14"/>
  <c r="A38" i="14"/>
  <c r="A36" i="14"/>
  <c r="A34" i="14"/>
  <c r="A32" i="14"/>
  <c r="A28" i="14"/>
  <c r="A26" i="14"/>
  <c r="A24" i="14"/>
  <c r="A22" i="14"/>
  <c r="A20" i="14"/>
  <c r="A18" i="14"/>
  <c r="A13" i="14"/>
  <c r="A11" i="14"/>
  <c r="A9" i="14"/>
  <c r="A7" i="14"/>
  <c r="A5" i="14"/>
  <c r="A3" i="14"/>
  <c r="A3" i="26"/>
  <c r="B2" i="26"/>
  <c r="A13" i="26"/>
  <c r="A11" i="26"/>
  <c r="A9" i="26"/>
  <c r="A7" i="26"/>
  <c r="A5" i="26"/>
  <c r="B46" i="14" a="1"/>
  <c r="B46" i="14" s="1"/>
  <c r="B48" i="14" a="1"/>
  <c r="B48" i="14" s="1"/>
  <c r="B50" i="14" a="1"/>
  <c r="B50" i="14" s="1"/>
  <c r="B52" i="14" a="1"/>
  <c r="B52" i="14" s="1"/>
  <c r="E52" i="14"/>
  <c r="B54" i="14" a="1"/>
  <c r="B54" i="14" s="1"/>
  <c r="B56" i="14" a="1"/>
  <c r="B56" i="14" s="1"/>
  <c r="B32" i="14" a="1"/>
  <c r="B32" i="14" s="1"/>
  <c r="D32" i="14"/>
  <c r="B34" i="14" a="1"/>
  <c r="B34" i="14" s="1"/>
  <c r="B36" i="14" a="1"/>
  <c r="B36" i="14" s="1"/>
  <c r="B38" i="14" a="1"/>
  <c r="B38" i="14" s="1"/>
  <c r="B40" i="14" a="1"/>
  <c r="E40" i="14" s="1"/>
  <c r="B42" i="14" a="1"/>
  <c r="B42" i="14" s="1"/>
  <c r="B18" i="14" a="1"/>
  <c r="B18" i="14" s="1"/>
  <c r="B20" i="14" a="1"/>
  <c r="B20" i="14" s="1"/>
  <c r="B22" i="14" a="1"/>
  <c r="B22" i="14" s="1"/>
  <c r="B24" i="14" a="1"/>
  <c r="E24" i="14" s="1"/>
  <c r="B26" i="14" a="1"/>
  <c r="B26" i="14" s="1"/>
  <c r="B28" i="14" a="1"/>
  <c r="B28" i="14" s="1"/>
  <c r="D62" i="14" l="1"/>
  <c r="D76" i="14"/>
  <c r="D118" i="14"/>
  <c r="H122" i="14"/>
  <c r="H130" i="14"/>
  <c r="H62" i="14"/>
  <c r="H76" i="14"/>
  <c r="D136" i="14"/>
  <c r="D122" i="14"/>
  <c r="O16" i="29"/>
  <c r="O9" i="29"/>
  <c r="O15" i="29"/>
  <c r="O26" i="29"/>
  <c r="M26" i="29"/>
  <c r="M12" i="29"/>
  <c r="M9" i="29"/>
  <c r="O19" i="29"/>
  <c r="N9" i="29"/>
  <c r="O18" i="29"/>
  <c r="M22" i="29"/>
  <c r="M23" i="29"/>
  <c r="M16" i="29"/>
  <c r="O28" i="29"/>
  <c r="M17" i="29"/>
  <c r="M15" i="29"/>
  <c r="M14" i="29"/>
  <c r="M25" i="29"/>
  <c r="N30" i="29"/>
  <c r="N27" i="29"/>
  <c r="N29" i="29"/>
  <c r="O20" i="29"/>
  <c r="N14" i="29"/>
  <c r="O27" i="29"/>
  <c r="M13" i="29"/>
  <c r="N21" i="29"/>
  <c r="N13" i="29"/>
  <c r="N12" i="29"/>
  <c r="M24" i="29"/>
  <c r="M19" i="29"/>
  <c r="M21" i="29"/>
  <c r="N26" i="29"/>
  <c r="N28" i="29"/>
  <c r="N20" i="29"/>
  <c r="O17" i="29"/>
  <c r="N19" i="29"/>
  <c r="N11" i="29"/>
  <c r="O25" i="29"/>
  <c r="O21" i="29"/>
  <c r="M30" i="29"/>
  <c r="M11" i="29"/>
  <c r="N25" i="29"/>
  <c r="N18" i="29"/>
  <c r="N10" i="29"/>
  <c r="O24" i="29"/>
  <c r="O10" i="29"/>
  <c r="O14" i="29"/>
  <c r="M29" i="29"/>
  <c r="O11" i="29"/>
  <c r="M10" i="29"/>
  <c r="N24" i="29"/>
  <c r="N17" i="29"/>
  <c r="O23" i="29"/>
  <c r="O13" i="29"/>
  <c r="M28" i="29"/>
  <c r="M20" i="29"/>
  <c r="N23" i="29"/>
  <c r="N16" i="29"/>
  <c r="O30" i="29"/>
  <c r="O22" i="29"/>
  <c r="O12" i="29"/>
  <c r="M27" i="29"/>
  <c r="M18" i="29"/>
  <c r="N22" i="29"/>
  <c r="N15" i="29"/>
  <c r="O29" i="29"/>
  <c r="H82" i="14"/>
  <c r="D74" i="14"/>
  <c r="D120" i="14"/>
  <c r="D134" i="14"/>
  <c r="H164" i="14"/>
  <c r="H68" i="14"/>
  <c r="D66" i="14"/>
  <c r="H74" i="14"/>
  <c r="D80" i="14"/>
  <c r="H120" i="14"/>
  <c r="H134" i="14"/>
  <c r="D18" i="14"/>
  <c r="D2" i="26" s="1"/>
  <c r="H66" i="14"/>
  <c r="H80" i="14"/>
  <c r="D130" i="14"/>
  <c r="H160" i="14"/>
  <c r="D166" i="14"/>
  <c r="H166" i="14"/>
  <c r="D68" i="14"/>
  <c r="D82" i="14"/>
  <c r="D162" i="14"/>
  <c r="H162" i="14"/>
  <c r="D64" i="14"/>
  <c r="D78" i="14"/>
  <c r="H118" i="14"/>
  <c r="D124" i="14"/>
  <c r="H132" i="14"/>
  <c r="D138" i="14"/>
  <c r="H64" i="14"/>
  <c r="H78" i="14"/>
  <c r="H124" i="14"/>
  <c r="H138" i="14"/>
  <c r="D164" i="14"/>
  <c r="E158" i="14"/>
  <c r="E164" i="14"/>
  <c r="E160" i="14"/>
  <c r="E162" i="14"/>
  <c r="E166" i="14"/>
  <c r="B158" i="14"/>
  <c r="F158" i="14"/>
  <c r="B160" i="14"/>
  <c r="F160" i="14"/>
  <c r="B162" i="14"/>
  <c r="F162" i="14"/>
  <c r="B164" i="14"/>
  <c r="F164" i="14"/>
  <c r="B166" i="14"/>
  <c r="F166" i="14"/>
  <c r="B168" i="14"/>
  <c r="D158" i="14"/>
  <c r="H158" i="14"/>
  <c r="C158" i="14"/>
  <c r="C160" i="14"/>
  <c r="C162" i="14"/>
  <c r="C164" i="14"/>
  <c r="C166" i="14"/>
  <c r="E150" i="14"/>
  <c r="D144" i="14"/>
  <c r="H144" i="14"/>
  <c r="D146" i="14"/>
  <c r="H146" i="14"/>
  <c r="D148" i="14"/>
  <c r="H148" i="14"/>
  <c r="D150" i="14"/>
  <c r="H150" i="14"/>
  <c r="D152" i="14"/>
  <c r="H152" i="14"/>
  <c r="E146" i="14"/>
  <c r="E148" i="14"/>
  <c r="E152" i="14"/>
  <c r="B144" i="14"/>
  <c r="F144" i="14"/>
  <c r="B146" i="14"/>
  <c r="F146" i="14"/>
  <c r="B148" i="14"/>
  <c r="F148" i="14"/>
  <c r="B150" i="14"/>
  <c r="F150" i="14"/>
  <c r="B152" i="14"/>
  <c r="F152" i="14"/>
  <c r="B154" i="14"/>
  <c r="E144" i="14"/>
  <c r="C144" i="14"/>
  <c r="C146" i="14"/>
  <c r="C148" i="14"/>
  <c r="C150" i="14"/>
  <c r="C152" i="14"/>
  <c r="E132" i="14"/>
  <c r="E138" i="14"/>
  <c r="E130" i="14"/>
  <c r="B130" i="14"/>
  <c r="F130" i="14"/>
  <c r="B132" i="14"/>
  <c r="F132" i="14"/>
  <c r="B134" i="14"/>
  <c r="F134" i="14"/>
  <c r="B136" i="14"/>
  <c r="F136" i="14"/>
  <c r="B138" i="14"/>
  <c r="F138" i="14"/>
  <c r="B140" i="14"/>
  <c r="E134" i="14"/>
  <c r="E136" i="14"/>
  <c r="C130" i="14"/>
  <c r="C132" i="14"/>
  <c r="C134" i="14"/>
  <c r="C136" i="14"/>
  <c r="C138" i="14"/>
  <c r="E122" i="14"/>
  <c r="E116" i="14"/>
  <c r="E124" i="14"/>
  <c r="B116" i="14"/>
  <c r="F116" i="14"/>
  <c r="B118" i="14"/>
  <c r="F118" i="14"/>
  <c r="B120" i="14"/>
  <c r="F120" i="14"/>
  <c r="B122" i="14"/>
  <c r="F122" i="14"/>
  <c r="B124" i="14"/>
  <c r="F124" i="14"/>
  <c r="B126" i="14"/>
  <c r="D116" i="14"/>
  <c r="H116" i="14"/>
  <c r="E118" i="14"/>
  <c r="E120" i="14"/>
  <c r="C116" i="14"/>
  <c r="C118" i="14"/>
  <c r="C120" i="14"/>
  <c r="C122" i="14"/>
  <c r="C124" i="14"/>
  <c r="E102" i="14"/>
  <c r="E110" i="14"/>
  <c r="D102" i="14"/>
  <c r="H102" i="14"/>
  <c r="D104" i="14"/>
  <c r="H104" i="14"/>
  <c r="D106" i="14"/>
  <c r="H106" i="14"/>
  <c r="D108" i="14"/>
  <c r="H108" i="14"/>
  <c r="D110" i="14"/>
  <c r="H110" i="14"/>
  <c r="E104" i="14"/>
  <c r="E108" i="14"/>
  <c r="B102" i="14"/>
  <c r="F102" i="14"/>
  <c r="B104" i="14"/>
  <c r="F104" i="14"/>
  <c r="B106" i="14"/>
  <c r="F106" i="14"/>
  <c r="B108" i="14"/>
  <c r="F108" i="14"/>
  <c r="B110" i="14"/>
  <c r="F110" i="14"/>
  <c r="B112" i="14"/>
  <c r="E106" i="14"/>
  <c r="C102" i="14"/>
  <c r="C104" i="14"/>
  <c r="C106" i="14"/>
  <c r="C108" i="14"/>
  <c r="C110" i="14"/>
  <c r="E96" i="14"/>
  <c r="D88" i="14"/>
  <c r="H88" i="14"/>
  <c r="D90" i="14"/>
  <c r="H90" i="14"/>
  <c r="D92" i="14"/>
  <c r="H92" i="14"/>
  <c r="D94" i="14"/>
  <c r="H94" i="14"/>
  <c r="D96" i="14"/>
  <c r="H96" i="14"/>
  <c r="E88" i="14"/>
  <c r="E90" i="14"/>
  <c r="E94" i="14"/>
  <c r="B88" i="14"/>
  <c r="F88" i="14"/>
  <c r="B90" i="14"/>
  <c r="F90" i="14"/>
  <c r="B92" i="14"/>
  <c r="F92" i="14"/>
  <c r="B94" i="14"/>
  <c r="F94" i="14"/>
  <c r="B96" i="14"/>
  <c r="F96" i="14"/>
  <c r="B98" i="14"/>
  <c r="E92" i="14"/>
  <c r="C88" i="14"/>
  <c r="C90" i="14"/>
  <c r="C92" i="14"/>
  <c r="C94" i="14"/>
  <c r="C96" i="14"/>
  <c r="E78" i="14"/>
  <c r="E80" i="14"/>
  <c r="E74" i="14"/>
  <c r="E82" i="14"/>
  <c r="B74" i="14"/>
  <c r="F74" i="14"/>
  <c r="B76" i="14"/>
  <c r="F76" i="14"/>
  <c r="B78" i="14"/>
  <c r="F78" i="14"/>
  <c r="B80" i="14"/>
  <c r="F80" i="14"/>
  <c r="B82" i="14"/>
  <c r="F82" i="14"/>
  <c r="B84" i="14"/>
  <c r="E76" i="14"/>
  <c r="C74" i="14"/>
  <c r="C76" i="14"/>
  <c r="C78" i="14"/>
  <c r="C80" i="14"/>
  <c r="C82" i="14"/>
  <c r="E64" i="14"/>
  <c r="E66" i="14"/>
  <c r="E60" i="14"/>
  <c r="E68" i="14"/>
  <c r="B60" i="14"/>
  <c r="F60" i="14"/>
  <c r="B62" i="14"/>
  <c r="F62" i="14"/>
  <c r="B64" i="14"/>
  <c r="F64" i="14"/>
  <c r="B66" i="14"/>
  <c r="F66" i="14"/>
  <c r="B68" i="14"/>
  <c r="F68" i="14"/>
  <c r="B70" i="14"/>
  <c r="D60" i="14"/>
  <c r="H60" i="14"/>
  <c r="E62" i="14"/>
  <c r="C60" i="14"/>
  <c r="C62" i="14"/>
  <c r="C64" i="14"/>
  <c r="C66" i="14"/>
  <c r="C68" i="14"/>
  <c r="E48" i="14"/>
  <c r="E46" i="14"/>
  <c r="H48" i="14"/>
  <c r="H46" i="14"/>
  <c r="E34" i="14"/>
  <c r="E50" i="14"/>
  <c r="D48" i="14"/>
  <c r="D46" i="14"/>
  <c r="E54" i="14"/>
  <c r="E36" i="14"/>
  <c r="H32" i="14"/>
  <c r="C56" i="14"/>
  <c r="G54" i="14"/>
  <c r="C54" i="14"/>
  <c r="G52" i="14"/>
  <c r="C52" i="14"/>
  <c r="G50" i="14"/>
  <c r="C50" i="14"/>
  <c r="G48" i="14"/>
  <c r="C48" i="14"/>
  <c r="G46" i="14"/>
  <c r="C46" i="14"/>
  <c r="H54" i="14"/>
  <c r="D54" i="14"/>
  <c r="H52" i="14"/>
  <c r="D52" i="14"/>
  <c r="H50" i="14"/>
  <c r="D50" i="14"/>
  <c r="E26" i="14"/>
  <c r="E20" i="14"/>
  <c r="E32" i="14"/>
  <c r="F54" i="14"/>
  <c r="F52" i="14"/>
  <c r="F50" i="14"/>
  <c r="F48" i="14"/>
  <c r="F46" i="14"/>
  <c r="H40" i="14"/>
  <c r="D40" i="14"/>
  <c r="H38" i="14"/>
  <c r="D38" i="14"/>
  <c r="H36" i="14"/>
  <c r="D36" i="14"/>
  <c r="H34" i="14"/>
  <c r="D34" i="14"/>
  <c r="H18" i="14"/>
  <c r="H2" i="26" s="1"/>
  <c r="C42" i="14"/>
  <c r="G40" i="14"/>
  <c r="C40" i="14"/>
  <c r="G38" i="14"/>
  <c r="C38" i="14"/>
  <c r="G36" i="14"/>
  <c r="C36" i="14"/>
  <c r="G34" i="14"/>
  <c r="C34" i="14"/>
  <c r="G32" i="14"/>
  <c r="C32" i="14"/>
  <c r="E38" i="14"/>
  <c r="E18" i="14"/>
  <c r="E2" i="26" s="1"/>
  <c r="F40" i="14"/>
  <c r="B40" i="14"/>
  <c r="F38" i="14"/>
  <c r="F36" i="14"/>
  <c r="F34" i="14"/>
  <c r="F32" i="14"/>
  <c r="E22" i="14"/>
  <c r="H26" i="14"/>
  <c r="D26" i="14"/>
  <c r="H24" i="14"/>
  <c r="D24" i="14"/>
  <c r="H22" i="14"/>
  <c r="D22" i="14"/>
  <c r="H20" i="14"/>
  <c r="D20" i="14"/>
  <c r="C28" i="14"/>
  <c r="G26" i="14"/>
  <c r="C26" i="14"/>
  <c r="G24" i="14"/>
  <c r="C24" i="14"/>
  <c r="G22" i="14"/>
  <c r="C22" i="14"/>
  <c r="G20" i="14"/>
  <c r="C20" i="14"/>
  <c r="G18" i="14"/>
  <c r="G2" i="26" s="1"/>
  <c r="C18" i="14"/>
  <c r="C2" i="26" s="1"/>
  <c r="F26" i="14"/>
  <c r="F24" i="14"/>
  <c r="B24" i="14"/>
  <c r="F22" i="14"/>
  <c r="F20" i="14"/>
  <c r="F18" i="14"/>
  <c r="F2" i="26" s="1"/>
  <c r="B13" i="14" l="1" a="1"/>
  <c r="B11" i="14" a="1"/>
  <c r="B9" i="14" a="1"/>
  <c r="B7" i="14" a="1"/>
  <c r="B5" i="14" a="1"/>
  <c r="B3" i="14" a="1"/>
  <c r="H3" i="14" l="1"/>
  <c r="H3" i="26" s="1"/>
  <c r="H4" i="26" s="1"/>
  <c r="G3" i="14"/>
  <c r="G3" i="26" s="1"/>
  <c r="G4" i="26" s="1"/>
  <c r="F3" i="14"/>
  <c r="F3" i="26" s="1"/>
  <c r="F4" i="26" s="1"/>
  <c r="E3" i="14"/>
  <c r="E3" i="26" s="1"/>
  <c r="E4" i="26" s="1"/>
  <c r="D3" i="14"/>
  <c r="D3" i="26" s="1"/>
  <c r="D4" i="26" s="1"/>
  <c r="C3" i="14"/>
  <c r="C3" i="26" s="1"/>
  <c r="C4" i="26" s="1"/>
  <c r="B3" i="14"/>
  <c r="B3" i="26" s="1"/>
  <c r="B4" i="26" s="1"/>
  <c r="H5" i="14"/>
  <c r="H5" i="26" s="1"/>
  <c r="H6" i="26" s="1"/>
  <c r="G5" i="14"/>
  <c r="G5" i="26" s="1"/>
  <c r="G6" i="26" s="1"/>
  <c r="F5" i="14"/>
  <c r="F5" i="26" s="1"/>
  <c r="F6" i="26" s="1"/>
  <c r="E5" i="14"/>
  <c r="E5" i="26" s="1"/>
  <c r="E6" i="26" s="1"/>
  <c r="D5" i="14"/>
  <c r="D5" i="26" s="1"/>
  <c r="D6" i="26" s="1"/>
  <c r="C5" i="14"/>
  <c r="C5" i="26" s="1"/>
  <c r="C6" i="26" s="1"/>
  <c r="B5" i="14"/>
  <c r="B5" i="26" s="1"/>
  <c r="B6" i="26" s="1"/>
  <c r="H7" i="14"/>
  <c r="H7" i="26" s="1"/>
  <c r="H8" i="26" s="1"/>
  <c r="G7" i="14"/>
  <c r="G7" i="26" s="1"/>
  <c r="G8" i="26" s="1"/>
  <c r="F7" i="14"/>
  <c r="F7" i="26" s="1"/>
  <c r="F8" i="26" s="1"/>
  <c r="E7" i="14"/>
  <c r="E7" i="26" s="1"/>
  <c r="E8" i="26" s="1"/>
  <c r="D7" i="14"/>
  <c r="D7" i="26" s="1"/>
  <c r="D8" i="26" s="1"/>
  <c r="C7" i="14"/>
  <c r="C7" i="26" s="1"/>
  <c r="C8" i="26" s="1"/>
  <c r="B7" i="14"/>
  <c r="B7" i="26" s="1"/>
  <c r="B8" i="26" s="1"/>
  <c r="H9" i="14"/>
  <c r="H9" i="26" s="1"/>
  <c r="H10" i="26" s="1"/>
  <c r="G9" i="14"/>
  <c r="G9" i="26" s="1"/>
  <c r="G10" i="26" s="1"/>
  <c r="F9" i="14"/>
  <c r="F9" i="26" s="1"/>
  <c r="F10" i="26" s="1"/>
  <c r="E9" i="14"/>
  <c r="E9" i="26" s="1"/>
  <c r="E10" i="26" s="1"/>
  <c r="D9" i="14"/>
  <c r="D9" i="26" s="1"/>
  <c r="D10" i="26" s="1"/>
  <c r="C9" i="14"/>
  <c r="C9" i="26" s="1"/>
  <c r="C10" i="26" s="1"/>
  <c r="B9" i="14"/>
  <c r="B9" i="26" s="1"/>
  <c r="B10" i="26" s="1"/>
  <c r="H11" i="14"/>
  <c r="H11" i="26" s="1"/>
  <c r="H12" i="26" s="1"/>
  <c r="G11" i="14"/>
  <c r="G11" i="26" s="1"/>
  <c r="G12" i="26" s="1"/>
  <c r="F11" i="14"/>
  <c r="F11" i="26" s="1"/>
  <c r="F12" i="26" s="1"/>
  <c r="E11" i="14"/>
  <c r="E11" i="26" s="1"/>
  <c r="E12" i="26" s="1"/>
  <c r="D11" i="14"/>
  <c r="D11" i="26" s="1"/>
  <c r="D12" i="26" s="1"/>
  <c r="C11" i="14"/>
  <c r="C11" i="26" s="1"/>
  <c r="C12" i="26" s="1"/>
  <c r="B11" i="14"/>
  <c r="B11" i="26" s="1"/>
  <c r="B12" i="26" s="1"/>
  <c r="C13" i="14"/>
  <c r="C13" i="26" s="1"/>
  <c r="C14" i="26" s="1"/>
  <c r="B13" i="14"/>
  <c r="B13" i="26" s="1"/>
  <c r="B14" i="26" s="1"/>
  <c r="B2" i="14"/>
  <c r="G2" i="14" l="1"/>
  <c r="E2" i="14"/>
  <c r="C2" i="14"/>
  <c r="H2" i="14"/>
  <c r="F2" i="14"/>
  <c r="D2" i="14"/>
</calcChain>
</file>

<file path=xl/sharedStrings.xml><?xml version="1.0" encoding="utf-8"?>
<sst xmlns="http://schemas.openxmlformats.org/spreadsheetml/2006/main" count="75" uniqueCount="43">
  <si>
    <t>NOTAS</t>
  </si>
  <si>
    <t>CONFIGURACIÓN DEL CALENDARIO</t>
  </si>
  <si>
    <t>AÑO</t>
  </si>
  <si>
    <t>INICIO DE LA SEMANA</t>
  </si>
  <si>
    <t>LUNES</t>
  </si>
  <si>
    <t>FEBRERO</t>
  </si>
  <si>
    <t>ENERO</t>
  </si>
  <si>
    <t>MARZO</t>
  </si>
  <si>
    <t>ABRIL</t>
  </si>
  <si>
    <t>MAYO</t>
  </si>
  <si>
    <t>JUNIO</t>
  </si>
  <si>
    <t>JULIO</t>
  </si>
  <si>
    <t>AGOSTO</t>
  </si>
  <si>
    <t>SEPTIEMBRE</t>
  </si>
  <si>
    <t>OCTUBRE</t>
  </si>
  <si>
    <t>NOVIEMBRE</t>
  </si>
  <si>
    <t>DICIEMBRE</t>
  </si>
  <si>
    <t>NUEVA CITA</t>
  </si>
  <si>
    <t>Información Principal</t>
  </si>
  <si>
    <t>Dia</t>
  </si>
  <si>
    <t>Hora</t>
  </si>
  <si>
    <t>Datos del Cliente</t>
  </si>
  <si>
    <t>Nombre y Apellido</t>
  </si>
  <si>
    <t>DNI</t>
  </si>
  <si>
    <t>Telefono</t>
  </si>
  <si>
    <t>Email</t>
  </si>
  <si>
    <t>Información de la Cita</t>
  </si>
  <si>
    <t>Motivo</t>
  </si>
  <si>
    <t>Agenda</t>
  </si>
  <si>
    <t>VOLVER</t>
  </si>
  <si>
    <t>Registro de Citas</t>
  </si>
  <si>
    <t>Fecha</t>
  </si>
  <si>
    <t>Mes</t>
  </si>
  <si>
    <t>Año</t>
  </si>
  <si>
    <t>Cliente</t>
  </si>
  <si>
    <t>fecha</t>
  </si>
  <si>
    <t>Citas programadas para este día</t>
  </si>
  <si>
    <t>Luis Abraham Cazarez Valenzuela</t>
  </si>
  <si>
    <t>REGISTRO</t>
  </si>
  <si>
    <t>DE CLIENTES 2022</t>
  </si>
  <si>
    <t/>
  </si>
  <si>
    <t>manzanita.kzarez@gmail.com</t>
  </si>
  <si>
    <t>FUMIGACIÓN DE TERMITA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</si>
</sst>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d"/>
    <numFmt numFmtId="169" formatCode="[$-F400]h:mm:ss\ AM/PM"/>
  </numFmts>
  <fonts count="43" x14ac:knownFonts="1">
    <font>
      <sz val="11"/>
      <color theme="1" tint="0.24994659260841701"/>
      <name val="Sylfaen"/>
      <family val="2"/>
      <scheme val="minor"/>
    </font>
    <font>
      <sz val="11"/>
      <color theme="1"/>
      <name val="Sylfaen"/>
      <family val="2"/>
      <scheme val="minor"/>
    </font>
    <font>
      <sz val="11"/>
      <color theme="1"/>
      <name val="Sylfaen"/>
      <family val="2"/>
      <scheme val="minor"/>
    </font>
    <font>
      <sz val="8"/>
      <name val="Arial"/>
      <family val="2"/>
    </font>
    <font>
      <sz val="10"/>
      <name val="Century Gothic"/>
      <family val="2"/>
    </font>
    <font>
      <b/>
      <sz val="11"/>
      <color theme="0"/>
      <name val="Sylfaen"/>
      <family val="2"/>
      <scheme val="minor"/>
    </font>
    <font>
      <b/>
      <sz val="14"/>
      <color theme="0"/>
      <name val="Sylfaen"/>
      <family val="2"/>
      <scheme val="minor"/>
    </font>
    <font>
      <sz val="35"/>
      <color theme="4"/>
      <name val="Sylfaen"/>
      <family val="2"/>
      <scheme val="minor"/>
    </font>
    <font>
      <sz val="12"/>
      <color theme="4" tint="-0.24994659260841701"/>
      <name val="Sylfaen"/>
      <family val="1"/>
      <scheme val="major"/>
    </font>
    <font>
      <sz val="11"/>
      <color theme="1" tint="0.34998626667073579"/>
      <name val="Sylfaen"/>
      <family val="2"/>
      <scheme val="minor"/>
    </font>
    <font>
      <sz val="11"/>
      <color theme="4" tint="-0.24994659260841701"/>
      <name val="Sylfaen"/>
      <family val="2"/>
      <scheme val="minor"/>
    </font>
    <font>
      <sz val="11"/>
      <color indexed="63"/>
      <name val="Sylfaen"/>
      <family val="2"/>
      <scheme val="minor"/>
    </font>
    <font>
      <sz val="11"/>
      <name val="Sylfaen"/>
      <family val="2"/>
      <scheme val="minor"/>
    </font>
    <font>
      <b/>
      <sz val="11"/>
      <color theme="1" tint="0.34998626667073579"/>
      <name val="Sylfaen"/>
      <family val="2"/>
      <scheme val="minor"/>
    </font>
    <font>
      <sz val="11"/>
      <color theme="1" tint="0.24994659260841701"/>
      <name val="Sylfaen"/>
      <family val="2"/>
      <scheme val="minor"/>
    </font>
    <font>
      <sz val="11"/>
      <color theme="0"/>
      <name val="Sylfaen"/>
      <family val="2"/>
      <scheme val="minor"/>
    </font>
    <font>
      <sz val="18"/>
      <color theme="1" tint="0.34998626667073579"/>
      <name val="Sylfaen"/>
      <family val="2"/>
      <scheme val="minor"/>
    </font>
    <font>
      <b/>
      <sz val="11"/>
      <color theme="1" tint="0.24994659260841701"/>
      <name val="Sylfaen"/>
      <family val="1"/>
      <scheme val="minor"/>
    </font>
    <font>
      <sz val="9"/>
      <color rgb="FFFF0000"/>
      <name val="Arial"/>
      <family val="2"/>
    </font>
    <font>
      <sz val="11"/>
      <color theme="0" tint="-0.14999847407452621"/>
      <name val="Sylfaen"/>
      <family val="2"/>
      <scheme val="minor"/>
    </font>
    <font>
      <sz val="11"/>
      <color theme="0"/>
      <name val="Sylfaen"/>
      <family val="1"/>
      <scheme val="minor"/>
    </font>
    <font>
      <b/>
      <sz val="11"/>
      <color theme="0"/>
      <name val="Sylfaen"/>
      <family val="1"/>
      <scheme val="minor"/>
    </font>
    <font>
      <b/>
      <sz val="28"/>
      <color theme="1" tint="0.24994659260841701"/>
      <name val="Sylfaen"/>
      <family val="1"/>
      <scheme val="minor"/>
    </font>
    <font>
      <sz val="11"/>
      <color rgb="FF89E0FF"/>
      <name val="Sylfaen"/>
      <family val="2"/>
      <scheme val="minor"/>
    </font>
    <font>
      <sz val="8"/>
      <color theme="0" tint="-0.34998626667073579"/>
      <name val="Sylfaen"/>
      <family val="1"/>
      <scheme val="minor"/>
    </font>
    <font>
      <sz val="9"/>
      <color rgb="FF00B0F0"/>
      <name val="Sylfaen"/>
      <family val="1"/>
      <scheme val="minor"/>
    </font>
    <font>
      <sz val="14"/>
      <color rgb="FF00B0F0"/>
      <name val="Sylfaen"/>
      <family val="1"/>
      <scheme val="minor"/>
    </font>
    <font>
      <sz val="11"/>
      <color rgb="FF00B0F0"/>
      <name val="Sylfaen"/>
      <family val="2"/>
      <scheme val="minor"/>
    </font>
    <font>
      <sz val="16"/>
      <color rgb="FF00B0F0"/>
      <name val="Sylfaen"/>
      <family val="2"/>
      <scheme val="minor"/>
    </font>
    <font>
      <sz val="16"/>
      <color theme="1" tint="0.24994659260841701"/>
      <name val="Sylfaen"/>
      <family val="2"/>
      <scheme val="minor"/>
    </font>
    <font>
      <u/>
      <sz val="11"/>
      <color theme="10"/>
      <name val="Sylfaen"/>
      <family val="2"/>
      <scheme val="minor"/>
    </font>
    <font>
      <sz val="10"/>
      <color theme="1" tint="0.24994659260841701"/>
      <name val="Sylfaen"/>
      <family val="2"/>
      <scheme val="minor"/>
    </font>
    <font>
      <u/>
      <sz val="10"/>
      <color theme="10"/>
      <name val="Sylfaen"/>
      <family val="2"/>
      <scheme val="minor"/>
    </font>
    <font>
      <sz val="35"/>
      <color rgb="FF00B0F0"/>
      <name val="Sylfaen"/>
      <family val="2"/>
      <scheme val="minor"/>
    </font>
    <font>
      <sz val="18"/>
      <color rgb="FF00B0F0"/>
      <name val="Sylfaen"/>
      <family val="2"/>
      <scheme val="minor"/>
    </font>
    <font>
      <sz val="12"/>
      <color rgb="FF00B0F0"/>
      <name val="Sylfaen"/>
      <family val="1"/>
      <scheme val="major"/>
    </font>
    <font>
      <sz val="11"/>
      <color theme="0" tint="-4.9989318521683403E-2"/>
      <name val="Sylfaen"/>
      <family val="2"/>
      <scheme val="minor"/>
    </font>
    <font>
      <b/>
      <sz val="14"/>
      <color rgb="FF00B0F0"/>
      <name val="Sylfaen"/>
      <family val="1"/>
      <scheme val="minor"/>
    </font>
    <font>
      <sz val="11"/>
      <color theme="0" tint="-4.9989318521683403E-2"/>
      <name val="Sylfaen"/>
      <family val="1"/>
      <scheme val="minor"/>
    </font>
    <font>
      <sz val="8"/>
      <color theme="0" tint="-4.9989318521683403E-2"/>
      <name val="Sylfaen"/>
      <family val="1"/>
      <scheme val="minor"/>
    </font>
    <font>
      <b/>
      <sz val="11"/>
      <color rgb="FFFF0000"/>
      <name val="Sylfaen"/>
      <family val="1"/>
      <scheme val="minor"/>
    </font>
    <font>
      <i/>
      <sz val="10"/>
      <color theme="1" tint="0.24994659260841701"/>
      <name val="Sylfaen"/>
      <family val="1"/>
      <scheme val="minor"/>
    </font>
    <font>
      <sz val="8"/>
      <color rgb="FF000000"/>
      <name val="Segoe UI"/>
      <family val="2"/>
    </font>
  </fonts>
  <fills count="12">
    <fill>
      <patternFill patternType="none"/>
    </fill>
    <fill>
      <patternFill patternType="gray125"/>
    </fill>
    <fill>
      <patternFill patternType="solid">
        <fgColor indexed="9"/>
        <bgColor indexed="64"/>
      </patternFill>
    </fill>
    <fill>
      <patternFill patternType="solid">
        <fgColor theme="4" tint="0.59999389629810485"/>
        <bgColor indexed="65"/>
      </patternFill>
    </fill>
    <fill>
      <patternFill patternType="solid">
        <fgColor theme="4"/>
      </patternFill>
    </fill>
    <fill>
      <patternFill patternType="solid">
        <fgColor theme="8"/>
      </patternFill>
    </fill>
    <fill>
      <patternFill patternType="solid">
        <fgColor theme="2"/>
        <bgColor indexed="64"/>
      </patternFill>
    </fill>
    <fill>
      <patternFill patternType="solid">
        <fgColor theme="0"/>
        <bgColor indexed="64"/>
      </patternFill>
    </fill>
    <fill>
      <patternFill patternType="solid">
        <fgColor rgb="FF89E0FF"/>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F8FC"/>
        <bgColor indexed="64"/>
      </patternFill>
    </fill>
  </fills>
  <borders count="9">
    <border>
      <left/>
      <right/>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ck">
        <color theme="1" tint="0.499984740745262"/>
      </left>
      <right style="thick">
        <color theme="1" tint="0.499984740745262"/>
      </right>
      <top style="thick">
        <color theme="1" tint="0.499984740745262"/>
      </top>
      <bottom style="thick">
        <color theme="1" tint="0.499984740745262"/>
      </bottom>
      <diagonal/>
    </border>
    <border>
      <left/>
      <right/>
      <top/>
      <bottom style="medium">
        <color theme="4" tint="-0.24994659260841701"/>
      </bottom>
      <diagonal/>
    </border>
    <border>
      <left/>
      <right/>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top/>
      <bottom/>
      <diagonal/>
    </border>
    <border>
      <left/>
      <right/>
      <top/>
      <bottom style="double">
        <color rgb="FF00B0F0"/>
      </bottom>
      <diagonal/>
    </border>
  </borders>
  <cellStyleXfs count="18">
    <xf numFmtId="0" fontId="0" fillId="0" borderId="0">
      <alignment vertical="top"/>
    </xf>
    <xf numFmtId="0" fontId="11" fillId="3" borderId="0" applyNumberFormat="0" applyBorder="0" applyAlignment="0" applyProtection="0"/>
    <xf numFmtId="0" fontId="10" fillId="0" borderId="3" applyNumberFormat="0" applyFill="0" applyProtection="0">
      <alignment horizontal="left" vertical="center" indent="1"/>
    </xf>
    <xf numFmtId="0" fontId="5" fillId="4" borderId="1" applyNumberFormat="0" applyAlignment="0" applyProtection="0"/>
    <xf numFmtId="0" fontId="6" fillId="5" borderId="2" applyNumberFormat="0" applyProtection="0">
      <alignment vertical="center"/>
    </xf>
    <xf numFmtId="0" fontId="7" fillId="0" borderId="0" applyFill="0" applyBorder="0" applyProtection="0">
      <alignment vertical="center"/>
    </xf>
    <xf numFmtId="167" fontId="9" fillId="0" borderId="0" applyFont="0" applyFill="0" applyBorder="0" applyAlignment="0" applyProtection="0"/>
    <xf numFmtId="165" fontId="9" fillId="0" borderId="0" applyFont="0" applyFill="0" applyBorder="0" applyAlignment="0" applyProtection="0"/>
    <xf numFmtId="166"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3" fillId="6" borderId="0" applyBorder="0" applyProtection="0">
      <alignment horizontal="left" vertical="top" wrapText="1" indent="1"/>
    </xf>
    <xf numFmtId="168" fontId="9" fillId="0" borderId="0">
      <alignment horizontal="left" indent="1"/>
    </xf>
    <xf numFmtId="0" fontId="12" fillId="6" borderId="0" applyNumberFormat="0" applyFont="0" applyBorder="0" applyAlignment="0">
      <alignment horizontal="left" vertical="center" indent="1"/>
    </xf>
    <xf numFmtId="0" fontId="8" fillId="0" borderId="0">
      <alignment horizontal="left" indent="1"/>
    </xf>
    <xf numFmtId="0" fontId="10" fillId="0" borderId="0" applyFill="0" applyProtection="0"/>
    <xf numFmtId="0" fontId="14" fillId="0" borderId="0" applyFill="0" applyProtection="0"/>
    <xf numFmtId="0" fontId="30" fillId="0" borderId="0" applyNumberFormat="0" applyFill="0" applyBorder="0" applyAlignment="0" applyProtection="0">
      <alignment vertical="top"/>
    </xf>
  </cellStyleXfs>
  <cellXfs count="105">
    <xf numFmtId="0" fontId="0" fillId="0" borderId="0" xfId="0">
      <alignment vertical="top"/>
    </xf>
    <xf numFmtId="0" fontId="0" fillId="2" borderId="0" xfId="0" applyFill="1">
      <alignment vertical="top"/>
    </xf>
    <xf numFmtId="0" fontId="4" fillId="0" borderId="0" xfId="0" applyFont="1">
      <alignment vertical="top"/>
    </xf>
    <xf numFmtId="0" fontId="10" fillId="2" borderId="0" xfId="2" applyFill="1" applyBorder="1" applyAlignment="1">
      <alignment vertical="center"/>
    </xf>
    <xf numFmtId="0" fontId="7" fillId="0" borderId="0" xfId="5" applyFill="1" applyBorder="1" applyAlignment="1">
      <alignment horizontal="right" vertical="center"/>
    </xf>
    <xf numFmtId="0" fontId="0" fillId="0" borderId="0" xfId="0" applyAlignment="1">
      <alignment horizontal="left" indent="1"/>
    </xf>
    <xf numFmtId="0" fontId="0" fillId="2" borderId="0" xfId="0" applyFill="1" applyAlignment="1">
      <alignment horizontal="right"/>
    </xf>
    <xf numFmtId="0" fontId="7" fillId="2" borderId="0" xfId="5" applyFill="1" applyAlignment="1">
      <alignment horizontal="left" vertical="center"/>
    </xf>
    <xf numFmtId="168" fontId="9" fillId="0" borderId="0" xfId="12">
      <alignment horizontal="left" indent="1"/>
    </xf>
    <xf numFmtId="0" fontId="0" fillId="0" borderId="0" xfId="0" applyFont="1">
      <alignment vertical="top"/>
    </xf>
    <xf numFmtId="0" fontId="0" fillId="2" borderId="0" xfId="0" applyFont="1" applyFill="1" applyAlignment="1">
      <alignment horizontal="right"/>
    </xf>
    <xf numFmtId="168" fontId="9" fillId="6" borderId="0" xfId="13" applyNumberFormat="1" applyFont="1" applyAlignment="1">
      <alignment horizontal="left" wrapText="1" indent="1"/>
    </xf>
    <xf numFmtId="0" fontId="10" fillId="0" borderId="3" xfId="2" applyFill="1">
      <alignment horizontal="left" vertical="center" indent="1"/>
    </xf>
    <xf numFmtId="0" fontId="0" fillId="0" borderId="0" xfId="0">
      <alignment vertical="top"/>
    </xf>
    <xf numFmtId="168" fontId="9" fillId="6" borderId="0" xfId="13" applyNumberFormat="1" applyFont="1" applyAlignment="1">
      <alignment horizontal="left" indent="1"/>
    </xf>
    <xf numFmtId="0" fontId="7" fillId="2" borderId="0" xfId="5" applyFill="1" applyBorder="1" applyAlignment="1">
      <alignment horizontal="left" vertical="center"/>
    </xf>
    <xf numFmtId="0" fontId="0" fillId="0" borderId="0" xfId="0">
      <alignment vertical="top"/>
    </xf>
    <xf numFmtId="0" fontId="7" fillId="2" borderId="0" xfId="5" applyFill="1" applyBorder="1">
      <alignment vertical="center"/>
    </xf>
    <xf numFmtId="0" fontId="7" fillId="2" borderId="0" xfId="5" applyNumberFormat="1" applyFill="1" applyBorder="1" applyAlignment="1">
      <alignment horizontal="left" vertical="center"/>
    </xf>
    <xf numFmtId="168" fontId="0" fillId="0" borderId="0" xfId="0" applyNumberFormat="1">
      <alignment vertical="top"/>
    </xf>
    <xf numFmtId="0" fontId="0" fillId="6" borderId="0" xfId="13" applyFont="1" applyAlignment="1">
      <alignment vertical="top"/>
    </xf>
    <xf numFmtId="0" fontId="0" fillId="6" borderId="0" xfId="13" applyFont="1" applyAlignment="1">
      <alignment vertical="top"/>
    </xf>
    <xf numFmtId="17" fontId="0" fillId="0" borderId="0" xfId="0" applyNumberFormat="1">
      <alignment vertical="top"/>
    </xf>
    <xf numFmtId="0" fontId="15" fillId="0" borderId="0" xfId="0" applyFont="1">
      <alignment vertical="top"/>
    </xf>
    <xf numFmtId="168" fontId="16" fillId="0" borderId="0" xfId="12" applyFont="1" applyAlignment="1">
      <alignment horizontal="center" vertical="center"/>
    </xf>
    <xf numFmtId="0" fontId="15" fillId="0" borderId="0" xfId="0" applyFont="1" applyAlignment="1">
      <alignment horizontal="center" vertical="center"/>
    </xf>
    <xf numFmtId="0" fontId="0" fillId="0" borderId="0" xfId="0" applyAlignment="1">
      <alignment horizontal="center" vertical="center"/>
    </xf>
    <xf numFmtId="0" fontId="18" fillId="0" borderId="0" xfId="0" applyFont="1" applyAlignment="1">
      <alignment horizontal="center" vertical="center"/>
    </xf>
    <xf numFmtId="14" fontId="15" fillId="0" borderId="0" xfId="0" applyNumberFormat="1" applyFont="1">
      <alignment vertical="top"/>
    </xf>
    <xf numFmtId="0" fontId="17" fillId="0" borderId="0" xfId="16" applyFont="1"/>
    <xf numFmtId="0" fontId="0" fillId="8" borderId="0" xfId="0" applyFill="1">
      <alignment vertical="top"/>
    </xf>
    <xf numFmtId="0" fontId="0" fillId="9" borderId="0" xfId="0" applyFill="1">
      <alignment vertical="top"/>
    </xf>
    <xf numFmtId="0" fontId="0" fillId="9" borderId="4" xfId="0" applyFill="1" applyBorder="1">
      <alignment vertical="top"/>
    </xf>
    <xf numFmtId="0" fontId="24" fillId="9" borderId="0" xfId="0" applyFont="1" applyFill="1">
      <alignment vertical="top"/>
    </xf>
    <xf numFmtId="0" fontId="0" fillId="7" borderId="0" xfId="0" applyFill="1">
      <alignment vertical="top"/>
    </xf>
    <xf numFmtId="0" fontId="26" fillId="7" borderId="0" xfId="0" applyFont="1" applyFill="1">
      <alignment vertical="top"/>
    </xf>
    <xf numFmtId="0" fontId="25" fillId="7" borderId="0" xfId="0" applyFont="1" applyFill="1">
      <alignment vertical="top"/>
    </xf>
    <xf numFmtId="0" fontId="24" fillId="7" borderId="0" xfId="0" applyFont="1" applyFill="1">
      <alignment vertical="top"/>
    </xf>
    <xf numFmtId="0" fontId="0" fillId="10" borderId="0" xfId="0" applyFill="1">
      <alignment vertical="top"/>
    </xf>
    <xf numFmtId="0" fontId="24" fillId="10" borderId="0" xfId="0" applyFont="1" applyFill="1">
      <alignment vertical="top"/>
    </xf>
    <xf numFmtId="0" fontId="0" fillId="8" borderId="0" xfId="0" applyFill="1" applyAlignment="1">
      <alignment horizontal="center" vertical="top"/>
    </xf>
    <xf numFmtId="0" fontId="21" fillId="8" borderId="0" xfId="0" applyFont="1" applyFill="1" applyAlignment="1">
      <alignment horizontal="center" vertical="center"/>
    </xf>
    <xf numFmtId="0" fontId="0" fillId="0" borderId="5" xfId="0" applyBorder="1">
      <alignment vertical="top"/>
    </xf>
    <xf numFmtId="0" fontId="0" fillId="0" borderId="6" xfId="0" applyBorder="1">
      <alignment vertical="top"/>
    </xf>
    <xf numFmtId="14" fontId="0" fillId="9" borderId="0" xfId="0" applyNumberFormat="1" applyFill="1">
      <alignment vertical="top"/>
    </xf>
    <xf numFmtId="0" fontId="0" fillId="0" borderId="0" xfId="0" applyAlignment="1">
      <alignment horizontal="center" vertical="top"/>
    </xf>
    <xf numFmtId="0" fontId="0" fillId="0" borderId="5" xfId="0" applyBorder="1" applyAlignment="1">
      <alignment horizontal="center" vertical="top"/>
    </xf>
    <xf numFmtId="0" fontId="28" fillId="0" borderId="0" xfId="0" applyFont="1" applyAlignment="1">
      <alignment horizontal="left" vertical="top"/>
    </xf>
    <xf numFmtId="169" fontId="0" fillId="8" borderId="0" xfId="0" applyNumberFormat="1" applyFill="1" applyAlignment="1">
      <alignment horizontal="center" vertical="top"/>
    </xf>
    <xf numFmtId="169" fontId="0" fillId="0" borderId="0" xfId="0" applyNumberFormat="1" applyAlignment="1">
      <alignment horizontal="center" vertical="top"/>
    </xf>
    <xf numFmtId="169" fontId="0" fillId="0" borderId="5" xfId="0" applyNumberFormat="1" applyBorder="1" applyAlignment="1">
      <alignment horizontal="center" vertical="top"/>
    </xf>
    <xf numFmtId="168" fontId="16" fillId="11" borderId="0" xfId="13" applyNumberFormat="1" applyFont="1" applyFill="1" applyAlignment="1">
      <alignment horizontal="center" vertical="center" wrapText="1"/>
    </xf>
    <xf numFmtId="0" fontId="18" fillId="11" borderId="0" xfId="13" applyFont="1" applyFill="1" applyAlignment="1">
      <alignment horizontal="center" vertical="center"/>
    </xf>
    <xf numFmtId="0" fontId="27" fillId="0" borderId="3" xfId="2" applyFont="1" applyFill="1" applyAlignment="1">
      <alignment horizontal="center" vertical="center"/>
    </xf>
    <xf numFmtId="0" fontId="33" fillId="2" borderId="0" xfId="5" applyFont="1" applyFill="1" applyBorder="1" applyAlignment="1">
      <alignment horizontal="left" vertical="center"/>
    </xf>
    <xf numFmtId="0" fontId="34" fillId="2" borderId="0" xfId="15" applyFont="1" applyFill="1"/>
    <xf numFmtId="0" fontId="27" fillId="0" borderId="0" xfId="0" applyFont="1">
      <alignment vertical="top"/>
    </xf>
    <xf numFmtId="0" fontId="27" fillId="2" borderId="0" xfId="0" applyFont="1" applyFill="1">
      <alignment vertical="top"/>
    </xf>
    <xf numFmtId="0" fontId="35" fillId="0" borderId="0" xfId="14" applyFont="1">
      <alignment horizontal="left" indent="1"/>
    </xf>
    <xf numFmtId="0" fontId="19" fillId="9" borderId="0" xfId="0" applyFont="1" applyFill="1">
      <alignment vertical="top"/>
    </xf>
    <xf numFmtId="0" fontId="36" fillId="9" borderId="0" xfId="0" applyFont="1" applyFill="1">
      <alignment vertical="top"/>
    </xf>
    <xf numFmtId="20" fontId="36" fillId="9" borderId="0" xfId="0" applyNumberFormat="1" applyFont="1" applyFill="1">
      <alignment vertical="top"/>
    </xf>
    <xf numFmtId="14" fontId="36" fillId="9" borderId="0" xfId="0" applyNumberFormat="1" applyFont="1" applyFill="1">
      <alignment vertical="top"/>
    </xf>
    <xf numFmtId="0" fontId="36" fillId="9" borderId="4" xfId="0" applyFont="1" applyFill="1" applyBorder="1">
      <alignment vertical="top"/>
    </xf>
    <xf numFmtId="0" fontId="2" fillId="9" borderId="0" xfId="0" applyFont="1" applyFill="1">
      <alignment vertical="top"/>
    </xf>
    <xf numFmtId="0" fontId="2" fillId="9" borderId="4" xfId="0" applyFont="1" applyFill="1" applyBorder="1">
      <alignment vertical="top"/>
    </xf>
    <xf numFmtId="169" fontId="36" fillId="9" borderId="0" xfId="0" applyNumberFormat="1" applyFont="1" applyFill="1" applyAlignment="1">
      <alignment horizontal="center" vertical="top"/>
    </xf>
    <xf numFmtId="169" fontId="36" fillId="9" borderId="4" xfId="0" applyNumberFormat="1" applyFont="1" applyFill="1" applyBorder="1" applyAlignment="1">
      <alignment horizontal="center" vertical="top"/>
    </xf>
    <xf numFmtId="169" fontId="19" fillId="9" borderId="0" xfId="0" applyNumberFormat="1" applyFont="1" applyFill="1" applyAlignment="1">
      <alignment horizontal="center" vertical="top"/>
    </xf>
    <xf numFmtId="169" fontId="0" fillId="9" borderId="0" xfId="0" applyNumberFormat="1" applyFill="1" applyAlignment="1">
      <alignment horizontal="center" vertical="top"/>
    </xf>
    <xf numFmtId="0" fontId="38" fillId="9" borderId="0" xfId="0" applyFont="1" applyFill="1">
      <alignment vertical="top"/>
    </xf>
    <xf numFmtId="0" fontId="39" fillId="9" borderId="0" xfId="0" applyFont="1" applyFill="1">
      <alignment vertical="top"/>
    </xf>
    <xf numFmtId="169" fontId="17" fillId="9" borderId="0" xfId="0" applyNumberFormat="1" applyFont="1" applyFill="1" applyAlignment="1">
      <alignment horizontal="center" vertical="top"/>
    </xf>
    <xf numFmtId="0" fontId="17" fillId="9" borderId="0" xfId="0" applyFont="1" applyFill="1">
      <alignment vertical="top"/>
    </xf>
    <xf numFmtId="0" fontId="40" fillId="7" borderId="0" xfId="0" applyFont="1" applyFill="1" applyAlignment="1">
      <alignment horizontal="right" vertical="top"/>
    </xf>
    <xf numFmtId="0" fontId="15" fillId="7" borderId="0" xfId="0" applyFont="1" applyFill="1">
      <alignment vertical="top"/>
    </xf>
    <xf numFmtId="169" fontId="41" fillId="9" borderId="0" xfId="0" applyNumberFormat="1" applyFont="1" applyFill="1" applyAlignment="1">
      <alignment horizontal="center" vertical="top"/>
    </xf>
    <xf numFmtId="0" fontId="41" fillId="9" borderId="0" xfId="0" applyFont="1" applyFill="1">
      <alignment vertical="top"/>
    </xf>
    <xf numFmtId="14" fontId="20" fillId="8" borderId="0" xfId="0" applyNumberFormat="1" applyFont="1" applyFill="1" applyBorder="1" applyAlignment="1">
      <alignment horizontal="center" vertical="top"/>
    </xf>
    <xf numFmtId="14" fontId="20" fillId="0" borderId="0" xfId="0" applyNumberFormat="1" applyFont="1" applyBorder="1" applyAlignment="1">
      <alignment horizontal="center" vertical="top"/>
    </xf>
    <xf numFmtId="14" fontId="20" fillId="0" borderId="7" xfId="0" applyNumberFormat="1" applyFont="1" applyBorder="1" applyAlignment="1">
      <alignment horizontal="center" vertical="top"/>
    </xf>
    <xf numFmtId="0" fontId="23" fillId="8" borderId="0" xfId="0" applyFont="1" applyFill="1">
      <alignment vertical="top"/>
    </xf>
    <xf numFmtId="0" fontId="0" fillId="7" borderId="0" xfId="0" applyFill="1" applyProtection="1">
      <alignment vertical="top"/>
    </xf>
    <xf numFmtId="0" fontId="15" fillId="7" borderId="0" xfId="0" applyFont="1" applyFill="1" applyProtection="1">
      <alignment vertical="top"/>
      <protection locked="0"/>
    </xf>
    <xf numFmtId="0" fontId="36" fillId="9" borderId="0" xfId="0" applyNumberFormat="1" applyFont="1" applyFill="1">
      <alignment vertical="top"/>
    </xf>
    <xf numFmtId="0" fontId="1" fillId="7" borderId="0" xfId="0" applyFont="1" applyFill="1">
      <alignment vertical="top"/>
    </xf>
    <xf numFmtId="0" fontId="17" fillId="8" borderId="0" xfId="0" applyFont="1" applyFill="1" applyAlignment="1">
      <alignment horizontal="center" vertical="top"/>
    </xf>
    <xf numFmtId="0" fontId="17" fillId="0" borderId="0" xfId="0" applyFont="1" applyAlignment="1">
      <alignment horizontal="center" vertical="top"/>
    </xf>
    <xf numFmtId="0" fontId="17" fillId="0" borderId="5" xfId="0" applyFont="1" applyBorder="1" applyAlignment="1">
      <alignment horizontal="center" vertical="top"/>
    </xf>
    <xf numFmtId="0" fontId="17" fillId="7" borderId="0" xfId="0" applyFont="1" applyFill="1" applyAlignment="1">
      <alignment horizontal="center" vertical="center"/>
    </xf>
    <xf numFmtId="0" fontId="13" fillId="6" borderId="0" xfId="11">
      <alignment horizontal="left" vertical="top" wrapText="1" indent="1"/>
    </xf>
    <xf numFmtId="0" fontId="0" fillId="6" borderId="0" xfId="13" applyFont="1" applyAlignment="1">
      <alignment vertical="top"/>
    </xf>
    <xf numFmtId="0" fontId="33" fillId="2" borderId="0" xfId="5" applyFont="1" applyFill="1" applyBorder="1" applyAlignment="1">
      <alignment horizontal="center" vertical="center"/>
    </xf>
    <xf numFmtId="0" fontId="21" fillId="8" borderId="0" xfId="0" applyFont="1" applyFill="1" applyAlignment="1">
      <alignment horizontal="center" vertical="center" wrapText="1"/>
    </xf>
    <xf numFmtId="0" fontId="21" fillId="8" borderId="4" xfId="0" applyFont="1" applyFill="1" applyBorder="1" applyAlignment="1">
      <alignment horizontal="center" vertical="center" wrapText="1"/>
    </xf>
    <xf numFmtId="0" fontId="29" fillId="9" borderId="0" xfId="0" applyFont="1" applyFill="1" applyAlignment="1">
      <alignment horizontal="left" vertical="center"/>
    </xf>
    <xf numFmtId="0" fontId="29" fillId="9" borderId="4" xfId="0" applyFont="1" applyFill="1" applyBorder="1" applyAlignment="1">
      <alignment horizontal="left" vertical="center"/>
    </xf>
    <xf numFmtId="169" fontId="31" fillId="7" borderId="4" xfId="0" applyNumberFormat="1" applyFont="1" applyFill="1" applyBorder="1" applyAlignment="1" applyProtection="1">
      <alignment horizontal="center" vertical="center"/>
      <protection locked="0"/>
    </xf>
    <xf numFmtId="0" fontId="31" fillId="7" borderId="4" xfId="0" applyFont="1" applyFill="1" applyBorder="1" applyAlignment="1" applyProtection="1">
      <alignment horizontal="center" vertical="center"/>
      <protection locked="0"/>
    </xf>
    <xf numFmtId="0" fontId="32" fillId="7" borderId="4" xfId="17" applyFont="1" applyFill="1" applyBorder="1" applyAlignment="1" applyProtection="1">
      <alignment horizontal="center" vertical="center"/>
      <protection locked="0"/>
    </xf>
    <xf numFmtId="0" fontId="37" fillId="9" borderId="8" xfId="0" applyFont="1" applyFill="1" applyBorder="1" applyAlignment="1">
      <alignment horizontal="center" vertical="top"/>
    </xf>
    <xf numFmtId="0" fontId="22" fillId="9" borderId="0" xfId="0" applyFont="1" applyFill="1" applyAlignment="1">
      <alignment horizontal="left" vertical="center"/>
    </xf>
    <xf numFmtId="0" fontId="22" fillId="9" borderId="4" xfId="0" applyFont="1" applyFill="1" applyBorder="1" applyAlignment="1">
      <alignment horizontal="left" vertical="center"/>
    </xf>
    <xf numFmtId="0" fontId="31" fillId="7" borderId="4" xfId="0" applyFont="1" applyFill="1" applyBorder="1" applyAlignment="1" applyProtection="1">
      <alignment horizontal="left" vertical="top" wrapText="1"/>
      <protection locked="0"/>
    </xf>
    <xf numFmtId="20" fontId="31" fillId="7" borderId="4" xfId="0" applyNumberFormat="1" applyFont="1" applyFill="1" applyBorder="1" applyAlignment="1" applyProtection="1">
      <alignment horizontal="center" vertical="center"/>
      <protection locked="0"/>
    </xf>
  </cellXfs>
  <cellStyles count="18">
    <cellStyle name="40% - Énfasis1" xfId="1" builtinId="31" customBuiltin="1"/>
    <cellStyle name="Con bandas" xfId="13" xr:uid="{00000000-0005-0000-0000-000001000000}"/>
    <cellStyle name="Día" xfId="12" xr:uid="{00000000-0005-0000-0000-000002000000}"/>
    <cellStyle name="Encabezado 1" xfId="2" builtinId="16" customBuiltin="1"/>
    <cellStyle name="Encabezado 4" xfId="11" builtinId="19" customBuiltin="1"/>
    <cellStyle name="Énfasis1" xfId="3" builtinId="29" customBuiltin="1"/>
    <cellStyle name="Énfasis5" xfId="4" builtinId="45" customBuiltin="1"/>
    <cellStyle name="Entrada de configuración" xfId="14" xr:uid="{00000000-0005-0000-0000-000007000000}"/>
    <cellStyle name="Hipervínculo" xfId="17" builtinId="8"/>
    <cellStyle name="Millares" xfId="6" builtinId="3" customBuiltin="1"/>
    <cellStyle name="Millares [0]" xfId="7" builtinId="6" customBuiltin="1"/>
    <cellStyle name="Moneda" xfId="8" builtinId="4" customBuiltin="1"/>
    <cellStyle name="Moneda [0]" xfId="9" builtinId="7" customBuiltin="1"/>
    <cellStyle name="Normal" xfId="0" builtinId="0" customBuiltin="1"/>
    <cellStyle name="Porcentaje" xfId="10" builtinId="5" customBuiltin="1"/>
    <cellStyle name="Título" xfId="5" builtinId="15" customBuiltin="1"/>
    <cellStyle name="Título 2" xfId="15" builtinId="17" customBuiltin="1"/>
    <cellStyle name="Título 3" xfId="16" builtinId="18" customBuiltin="1"/>
  </cellStyles>
  <dxfs count="40">
    <dxf>
      <fill>
        <patternFill>
          <bgColor theme="6" tint="0.79998168889431442"/>
        </patternFill>
      </fill>
    </dxf>
    <dxf>
      <fill>
        <patternFill>
          <bgColor theme="7" tint="0.79998168889431442"/>
        </patternFill>
      </fill>
    </dxf>
    <dxf>
      <font>
        <color theme="0" tint="-0.24994659260841701"/>
      </font>
    </dxf>
    <dxf>
      <fill>
        <patternFill>
          <bgColor theme="7" tint="0.79998168889431442"/>
        </patternFill>
      </fill>
    </dxf>
    <dxf>
      <font>
        <color theme="0" tint="-0.24994659260841701"/>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1F2F5"/>
      <rgbColor rgb="00008080"/>
      <rgbColor rgb="00E4EAF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314265"/>
      <rgbColor rgb="00CCFFCC"/>
      <rgbColor rgb="00FFEECD"/>
      <rgbColor rgb="00D0D8E2"/>
      <rgbColor rgb="00FF99CC"/>
      <rgbColor rgb="00CC99FF"/>
      <rgbColor rgb="00FFCC99"/>
      <rgbColor rgb="003366FF"/>
      <rgbColor rgb="0033CCCC"/>
      <rgbColor rgb="0099CC00"/>
      <rgbColor rgb="00FFCC00"/>
      <rgbColor rgb="00FF9900"/>
      <rgbColor rgb="00FF6600"/>
      <rgbColor rgb="00717789"/>
      <rgbColor rgb="00969696"/>
      <rgbColor rgb="00003366"/>
      <rgbColor rgb="00339966"/>
      <rgbColor rgb="00003300"/>
      <rgbColor rgb="00333300"/>
      <rgbColor rgb="00993300"/>
      <rgbColor rgb="00993366"/>
      <rgbColor rgb="00333399"/>
      <rgbColor rgb="004B4B4B"/>
    </indexedColors>
    <mruColors>
      <color rgb="FF89E0FF"/>
      <color rgb="FFDCF8FC"/>
      <color rgb="FF5BD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fmlaLink="$B$11" lockText="1"/>
</file>

<file path=xl/drawings/_rels/drawing1.xml.rels><?xml version="1.0" encoding="UTF-8" standalone="yes"?>
<Relationships xmlns="http://schemas.openxmlformats.org/package/2006/relationships"><Relationship Id="rId1" Type="http://schemas.openxmlformats.org/officeDocument/2006/relationships/hyperlink" Target="#CITAS!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MESES!A1"/><Relationship Id="rId1" Type="http://schemas.openxmlformats.org/officeDocument/2006/relationships/hyperlink" Target="#FORMULARIO!A1"/><Relationship Id="rId5" Type="http://schemas.microsoft.com/office/2007/relationships/hdphoto" Target="../media/hdphoto1.wdp"/><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hyperlink" Target="#CITAS!A1"/></Relationships>
</file>

<file path=xl/drawings/_rels/drawing4.xml.rels><?xml version="1.0" encoding="UTF-8" standalone="yes"?>
<Relationships xmlns="http://schemas.openxmlformats.org/package/2006/relationships"><Relationship Id="rId1" Type="http://schemas.openxmlformats.org/officeDocument/2006/relationships/hyperlink" Target="#CITAS!A1"/></Relationships>
</file>

<file path=xl/drawings/drawing1.xml><?xml version="1.0" encoding="utf-8"?>
<xdr:wsDr xmlns:xdr="http://schemas.openxmlformats.org/drawingml/2006/spreadsheetDrawing" xmlns:a="http://schemas.openxmlformats.org/drawingml/2006/main">
  <xdr:twoCellAnchor>
    <xdr:from>
      <xdr:col>11</xdr:col>
      <xdr:colOff>123825</xdr:colOff>
      <xdr:row>2</xdr:row>
      <xdr:rowOff>409575</xdr:rowOff>
    </xdr:from>
    <xdr:to>
      <xdr:col>11</xdr:col>
      <xdr:colOff>457200</xdr:colOff>
      <xdr:row>4</xdr:row>
      <xdr:rowOff>123825</xdr:rowOff>
    </xdr:to>
    <xdr:sp macro="" textlink="">
      <xdr:nvSpPr>
        <xdr:cNvPr id="2" name="Flecha: curvada hacia la izquierda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790950" y="1295400"/>
          <a:ext cx="333375" cy="361950"/>
        </a:xfrm>
        <a:prstGeom prst="curvedLeftArrow">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257175</xdr:colOff>
      <xdr:row>2</xdr:row>
      <xdr:rowOff>38100</xdr:rowOff>
    </xdr:from>
    <xdr:to>
      <xdr:col>2</xdr:col>
      <xdr:colOff>1085850</xdr:colOff>
      <xdr:row>2</xdr:row>
      <xdr:rowOff>685800</xdr:rowOff>
    </xdr:to>
    <xdr:sp macro="[0]!uno" textlink="">
      <xdr:nvSpPr>
        <xdr:cNvPr id="2" name="Rectángulo 1">
          <a:extLst>
            <a:ext uri="{FF2B5EF4-FFF2-40B4-BE49-F238E27FC236}">
              <a16:creationId xmlns:a16="http://schemas.microsoft.com/office/drawing/2014/main" id="{00000000-0008-0000-0100-000002000000}"/>
            </a:ext>
          </a:extLst>
        </xdr:cNvPr>
        <xdr:cNvSpPr/>
      </xdr:nvSpPr>
      <xdr:spPr>
        <a:xfrm>
          <a:off x="1847850" y="10668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6</xdr:col>
      <xdr:colOff>1013459</xdr:colOff>
      <xdr:row>0</xdr:row>
      <xdr:rowOff>163830</xdr:rowOff>
    </xdr:from>
    <xdr:to>
      <xdr:col>7</xdr:col>
      <xdr:colOff>1158239</xdr:colOff>
      <xdr:row>0</xdr:row>
      <xdr:rowOff>544830</xdr:rowOff>
    </xdr:to>
    <xdr:sp macro="" textlink="">
      <xdr:nvSpPr>
        <xdr:cNvPr id="3" name="Rectángulo: esquinas redondeadas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7292339" y="163830"/>
          <a:ext cx="1356360" cy="381000"/>
        </a:xfrm>
        <a:prstGeom prst="roundRect">
          <a:avLst/>
        </a:prstGeom>
        <a:noFill/>
        <a:ln>
          <a:solidFill>
            <a:srgbClr val="00B0F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C" sz="1400" b="0">
              <a:solidFill>
                <a:srgbClr val="00B0F0"/>
              </a:solidFill>
            </a:rPr>
            <a:t>Añadir</a:t>
          </a:r>
          <a:r>
            <a:rPr lang="es-EC" sz="1400" b="0" baseline="0">
              <a:solidFill>
                <a:srgbClr val="00B0F0"/>
              </a:solidFill>
            </a:rPr>
            <a:t> cita</a:t>
          </a:r>
        </a:p>
      </xdr:txBody>
    </xdr:sp>
    <xdr:clientData/>
  </xdr:twoCellAnchor>
  <xdr:twoCellAnchor>
    <xdr:from>
      <xdr:col>3</xdr:col>
      <xdr:colOff>219075</xdr:colOff>
      <xdr:row>2</xdr:row>
      <xdr:rowOff>0</xdr:rowOff>
    </xdr:from>
    <xdr:to>
      <xdr:col>3</xdr:col>
      <xdr:colOff>1047750</xdr:colOff>
      <xdr:row>2</xdr:row>
      <xdr:rowOff>647700</xdr:rowOff>
    </xdr:to>
    <xdr:sp macro="[0]!dos" textlink="">
      <xdr:nvSpPr>
        <xdr:cNvPr id="4" name="Rectángulo 3">
          <a:extLst>
            <a:ext uri="{FF2B5EF4-FFF2-40B4-BE49-F238E27FC236}">
              <a16:creationId xmlns:a16="http://schemas.microsoft.com/office/drawing/2014/main" id="{00000000-0008-0000-0100-000004000000}"/>
            </a:ext>
          </a:extLst>
        </xdr:cNvPr>
        <xdr:cNvSpPr/>
      </xdr:nvSpPr>
      <xdr:spPr>
        <a:xfrm>
          <a:off x="3152775" y="10287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4</xdr:col>
      <xdr:colOff>257175</xdr:colOff>
      <xdr:row>2</xdr:row>
      <xdr:rowOff>28575</xdr:rowOff>
    </xdr:from>
    <xdr:to>
      <xdr:col>4</xdr:col>
      <xdr:colOff>1085850</xdr:colOff>
      <xdr:row>2</xdr:row>
      <xdr:rowOff>676275</xdr:rowOff>
    </xdr:to>
    <xdr:sp macro="[0]!tres" textlink="">
      <xdr:nvSpPr>
        <xdr:cNvPr id="5" name="Rectángulo 4">
          <a:extLst>
            <a:ext uri="{FF2B5EF4-FFF2-40B4-BE49-F238E27FC236}">
              <a16:creationId xmlns:a16="http://schemas.microsoft.com/office/drawing/2014/main" id="{00000000-0008-0000-0100-000005000000}"/>
            </a:ext>
          </a:extLst>
        </xdr:cNvPr>
        <xdr:cNvSpPr/>
      </xdr:nvSpPr>
      <xdr:spPr>
        <a:xfrm>
          <a:off x="4533900" y="10572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228600</xdr:colOff>
      <xdr:row>2</xdr:row>
      <xdr:rowOff>19050</xdr:rowOff>
    </xdr:from>
    <xdr:to>
      <xdr:col>5</xdr:col>
      <xdr:colOff>1057275</xdr:colOff>
      <xdr:row>2</xdr:row>
      <xdr:rowOff>666750</xdr:rowOff>
    </xdr:to>
    <xdr:sp macro="[0]!cuatro" textlink="">
      <xdr:nvSpPr>
        <xdr:cNvPr id="6" name="Rectángulo 5">
          <a:extLst>
            <a:ext uri="{FF2B5EF4-FFF2-40B4-BE49-F238E27FC236}">
              <a16:creationId xmlns:a16="http://schemas.microsoft.com/office/drawing/2014/main" id="{00000000-0008-0000-0100-000006000000}"/>
            </a:ext>
          </a:extLst>
        </xdr:cNvPr>
        <xdr:cNvSpPr/>
      </xdr:nvSpPr>
      <xdr:spPr>
        <a:xfrm>
          <a:off x="5848350" y="10477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6</xdr:col>
      <xdr:colOff>228600</xdr:colOff>
      <xdr:row>2</xdr:row>
      <xdr:rowOff>28575</xdr:rowOff>
    </xdr:from>
    <xdr:to>
      <xdr:col>6</xdr:col>
      <xdr:colOff>1057275</xdr:colOff>
      <xdr:row>2</xdr:row>
      <xdr:rowOff>676275</xdr:rowOff>
    </xdr:to>
    <xdr:sp macro="[0]!cinco" textlink="">
      <xdr:nvSpPr>
        <xdr:cNvPr id="7" name="Rectángulo 6">
          <a:extLst>
            <a:ext uri="{FF2B5EF4-FFF2-40B4-BE49-F238E27FC236}">
              <a16:creationId xmlns:a16="http://schemas.microsoft.com/office/drawing/2014/main" id="{00000000-0008-0000-0100-000007000000}"/>
            </a:ext>
          </a:extLst>
        </xdr:cNvPr>
        <xdr:cNvSpPr/>
      </xdr:nvSpPr>
      <xdr:spPr>
        <a:xfrm>
          <a:off x="7191375" y="10572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7</xdr:col>
      <xdr:colOff>266700</xdr:colOff>
      <xdr:row>2</xdr:row>
      <xdr:rowOff>19050</xdr:rowOff>
    </xdr:from>
    <xdr:to>
      <xdr:col>7</xdr:col>
      <xdr:colOff>1095375</xdr:colOff>
      <xdr:row>2</xdr:row>
      <xdr:rowOff>666750</xdr:rowOff>
    </xdr:to>
    <xdr:sp macro="[0]!seis" textlink="">
      <xdr:nvSpPr>
        <xdr:cNvPr id="8" name="Rectángulo 7">
          <a:extLst>
            <a:ext uri="{FF2B5EF4-FFF2-40B4-BE49-F238E27FC236}">
              <a16:creationId xmlns:a16="http://schemas.microsoft.com/office/drawing/2014/main" id="{00000000-0008-0000-0100-000008000000}"/>
            </a:ext>
          </a:extLst>
        </xdr:cNvPr>
        <xdr:cNvSpPr/>
      </xdr:nvSpPr>
      <xdr:spPr>
        <a:xfrm>
          <a:off x="8572500" y="10477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304800</xdr:colOff>
      <xdr:row>2</xdr:row>
      <xdr:rowOff>47625</xdr:rowOff>
    </xdr:from>
    <xdr:to>
      <xdr:col>1</xdr:col>
      <xdr:colOff>1133475</xdr:colOff>
      <xdr:row>2</xdr:row>
      <xdr:rowOff>695325</xdr:rowOff>
    </xdr:to>
    <xdr:sp macro="[0]!cero" textlink="">
      <xdr:nvSpPr>
        <xdr:cNvPr id="9" name="Rectángulo 8">
          <a:extLst>
            <a:ext uri="{FF2B5EF4-FFF2-40B4-BE49-F238E27FC236}">
              <a16:creationId xmlns:a16="http://schemas.microsoft.com/office/drawing/2014/main" id="{00000000-0008-0000-0100-000009000000}"/>
            </a:ext>
          </a:extLst>
        </xdr:cNvPr>
        <xdr:cNvSpPr/>
      </xdr:nvSpPr>
      <xdr:spPr>
        <a:xfrm>
          <a:off x="504825" y="107632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190500</xdr:colOff>
      <xdr:row>4</xdr:row>
      <xdr:rowOff>47625</xdr:rowOff>
    </xdr:from>
    <xdr:to>
      <xdr:col>2</xdr:col>
      <xdr:colOff>1019175</xdr:colOff>
      <xdr:row>4</xdr:row>
      <xdr:rowOff>695325</xdr:rowOff>
    </xdr:to>
    <xdr:sp macro="[0]!ocho" textlink="">
      <xdr:nvSpPr>
        <xdr:cNvPr id="10" name="Rectángulo 9">
          <a:extLst>
            <a:ext uri="{FF2B5EF4-FFF2-40B4-BE49-F238E27FC236}">
              <a16:creationId xmlns:a16="http://schemas.microsoft.com/office/drawing/2014/main" id="{00000000-0008-0000-0100-00000A000000}"/>
            </a:ext>
          </a:extLst>
        </xdr:cNvPr>
        <xdr:cNvSpPr/>
      </xdr:nvSpPr>
      <xdr:spPr>
        <a:xfrm>
          <a:off x="1781175" y="20574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3</xdr:col>
      <xdr:colOff>152400</xdr:colOff>
      <xdr:row>4</xdr:row>
      <xdr:rowOff>9525</xdr:rowOff>
    </xdr:from>
    <xdr:to>
      <xdr:col>3</xdr:col>
      <xdr:colOff>981075</xdr:colOff>
      <xdr:row>4</xdr:row>
      <xdr:rowOff>657225</xdr:rowOff>
    </xdr:to>
    <xdr:sp macro="[0]!nueve" textlink="">
      <xdr:nvSpPr>
        <xdr:cNvPr id="11" name="Rectángulo 10">
          <a:extLst>
            <a:ext uri="{FF2B5EF4-FFF2-40B4-BE49-F238E27FC236}">
              <a16:creationId xmlns:a16="http://schemas.microsoft.com/office/drawing/2014/main" id="{00000000-0008-0000-0100-00000B000000}"/>
            </a:ext>
          </a:extLst>
        </xdr:cNvPr>
        <xdr:cNvSpPr/>
      </xdr:nvSpPr>
      <xdr:spPr>
        <a:xfrm>
          <a:off x="3086100" y="20193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4</xdr:col>
      <xdr:colOff>190500</xdr:colOff>
      <xdr:row>4</xdr:row>
      <xdr:rowOff>38100</xdr:rowOff>
    </xdr:from>
    <xdr:to>
      <xdr:col>4</xdr:col>
      <xdr:colOff>1019175</xdr:colOff>
      <xdr:row>4</xdr:row>
      <xdr:rowOff>685800</xdr:rowOff>
    </xdr:to>
    <xdr:sp macro="[0]!diez" textlink="">
      <xdr:nvSpPr>
        <xdr:cNvPr id="12" name="Rectángulo 11">
          <a:extLst>
            <a:ext uri="{FF2B5EF4-FFF2-40B4-BE49-F238E27FC236}">
              <a16:creationId xmlns:a16="http://schemas.microsoft.com/office/drawing/2014/main" id="{00000000-0008-0000-0100-00000C000000}"/>
            </a:ext>
          </a:extLst>
        </xdr:cNvPr>
        <xdr:cNvSpPr/>
      </xdr:nvSpPr>
      <xdr:spPr>
        <a:xfrm>
          <a:off x="4467225" y="20478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161925</xdr:colOff>
      <xdr:row>4</xdr:row>
      <xdr:rowOff>28575</xdr:rowOff>
    </xdr:from>
    <xdr:to>
      <xdr:col>5</xdr:col>
      <xdr:colOff>990600</xdr:colOff>
      <xdr:row>4</xdr:row>
      <xdr:rowOff>676275</xdr:rowOff>
    </xdr:to>
    <xdr:sp macro="[0]!once" textlink="">
      <xdr:nvSpPr>
        <xdr:cNvPr id="13" name="Rectángulo 12">
          <a:extLst>
            <a:ext uri="{FF2B5EF4-FFF2-40B4-BE49-F238E27FC236}">
              <a16:creationId xmlns:a16="http://schemas.microsoft.com/office/drawing/2014/main" id="{00000000-0008-0000-0100-00000D000000}"/>
            </a:ext>
          </a:extLst>
        </xdr:cNvPr>
        <xdr:cNvSpPr/>
      </xdr:nvSpPr>
      <xdr:spPr>
        <a:xfrm>
          <a:off x="5781675" y="20383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6</xdr:col>
      <xdr:colOff>161925</xdr:colOff>
      <xdr:row>4</xdr:row>
      <xdr:rowOff>38100</xdr:rowOff>
    </xdr:from>
    <xdr:to>
      <xdr:col>6</xdr:col>
      <xdr:colOff>990600</xdr:colOff>
      <xdr:row>4</xdr:row>
      <xdr:rowOff>685800</xdr:rowOff>
    </xdr:to>
    <xdr:sp macro="[0]!doce" textlink="">
      <xdr:nvSpPr>
        <xdr:cNvPr id="14" name="Rectángulo 13">
          <a:extLst>
            <a:ext uri="{FF2B5EF4-FFF2-40B4-BE49-F238E27FC236}">
              <a16:creationId xmlns:a16="http://schemas.microsoft.com/office/drawing/2014/main" id="{00000000-0008-0000-0100-00000E000000}"/>
            </a:ext>
          </a:extLst>
        </xdr:cNvPr>
        <xdr:cNvSpPr/>
      </xdr:nvSpPr>
      <xdr:spPr>
        <a:xfrm>
          <a:off x="7124700" y="20478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7</xdr:col>
      <xdr:colOff>200025</xdr:colOff>
      <xdr:row>4</xdr:row>
      <xdr:rowOff>28575</xdr:rowOff>
    </xdr:from>
    <xdr:to>
      <xdr:col>7</xdr:col>
      <xdr:colOff>1028700</xdr:colOff>
      <xdr:row>4</xdr:row>
      <xdr:rowOff>676275</xdr:rowOff>
    </xdr:to>
    <xdr:sp macro="[0]!trece" textlink="">
      <xdr:nvSpPr>
        <xdr:cNvPr id="15" name="Rectángulo 14">
          <a:extLst>
            <a:ext uri="{FF2B5EF4-FFF2-40B4-BE49-F238E27FC236}">
              <a16:creationId xmlns:a16="http://schemas.microsoft.com/office/drawing/2014/main" id="{00000000-0008-0000-0100-00000F000000}"/>
            </a:ext>
          </a:extLst>
        </xdr:cNvPr>
        <xdr:cNvSpPr/>
      </xdr:nvSpPr>
      <xdr:spPr>
        <a:xfrm>
          <a:off x="8505825" y="20383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238125</xdr:colOff>
      <xdr:row>4</xdr:row>
      <xdr:rowOff>57150</xdr:rowOff>
    </xdr:from>
    <xdr:to>
      <xdr:col>1</xdr:col>
      <xdr:colOff>1066800</xdr:colOff>
      <xdr:row>4</xdr:row>
      <xdr:rowOff>704850</xdr:rowOff>
    </xdr:to>
    <xdr:sp macro="[0]!siete" textlink="">
      <xdr:nvSpPr>
        <xdr:cNvPr id="16" name="Rectángulo 15">
          <a:extLst>
            <a:ext uri="{FF2B5EF4-FFF2-40B4-BE49-F238E27FC236}">
              <a16:creationId xmlns:a16="http://schemas.microsoft.com/office/drawing/2014/main" id="{00000000-0008-0000-0100-000010000000}"/>
            </a:ext>
          </a:extLst>
        </xdr:cNvPr>
        <xdr:cNvSpPr/>
      </xdr:nvSpPr>
      <xdr:spPr>
        <a:xfrm>
          <a:off x="438150" y="206692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276225</xdr:colOff>
      <xdr:row>6</xdr:row>
      <xdr:rowOff>66675</xdr:rowOff>
    </xdr:from>
    <xdr:to>
      <xdr:col>2</xdr:col>
      <xdr:colOff>1104900</xdr:colOff>
      <xdr:row>6</xdr:row>
      <xdr:rowOff>714375</xdr:rowOff>
    </xdr:to>
    <xdr:sp macro="[0]!quince" textlink="">
      <xdr:nvSpPr>
        <xdr:cNvPr id="17" name="Rectángulo 16">
          <a:extLst>
            <a:ext uri="{FF2B5EF4-FFF2-40B4-BE49-F238E27FC236}">
              <a16:creationId xmlns:a16="http://schemas.microsoft.com/office/drawing/2014/main" id="{00000000-0008-0000-0100-000011000000}"/>
            </a:ext>
          </a:extLst>
        </xdr:cNvPr>
        <xdr:cNvSpPr/>
      </xdr:nvSpPr>
      <xdr:spPr>
        <a:xfrm>
          <a:off x="1866900" y="305752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3</xdr:col>
      <xdr:colOff>238125</xdr:colOff>
      <xdr:row>6</xdr:row>
      <xdr:rowOff>28575</xdr:rowOff>
    </xdr:from>
    <xdr:to>
      <xdr:col>3</xdr:col>
      <xdr:colOff>1066800</xdr:colOff>
      <xdr:row>6</xdr:row>
      <xdr:rowOff>676275</xdr:rowOff>
    </xdr:to>
    <xdr:sp macro="[0]!dieciseis" textlink="">
      <xdr:nvSpPr>
        <xdr:cNvPr id="18" name="Rectángulo 17">
          <a:extLst>
            <a:ext uri="{FF2B5EF4-FFF2-40B4-BE49-F238E27FC236}">
              <a16:creationId xmlns:a16="http://schemas.microsoft.com/office/drawing/2014/main" id="{00000000-0008-0000-0100-000012000000}"/>
            </a:ext>
          </a:extLst>
        </xdr:cNvPr>
        <xdr:cNvSpPr/>
      </xdr:nvSpPr>
      <xdr:spPr>
        <a:xfrm>
          <a:off x="3171825" y="301942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4</xdr:col>
      <xdr:colOff>276225</xdr:colOff>
      <xdr:row>6</xdr:row>
      <xdr:rowOff>57150</xdr:rowOff>
    </xdr:from>
    <xdr:to>
      <xdr:col>4</xdr:col>
      <xdr:colOff>1104900</xdr:colOff>
      <xdr:row>6</xdr:row>
      <xdr:rowOff>704850</xdr:rowOff>
    </xdr:to>
    <xdr:sp macro="[0]!diecisiete" textlink="">
      <xdr:nvSpPr>
        <xdr:cNvPr id="19" name="Rectángulo 18">
          <a:extLst>
            <a:ext uri="{FF2B5EF4-FFF2-40B4-BE49-F238E27FC236}">
              <a16:creationId xmlns:a16="http://schemas.microsoft.com/office/drawing/2014/main" id="{00000000-0008-0000-0100-000013000000}"/>
            </a:ext>
          </a:extLst>
        </xdr:cNvPr>
        <xdr:cNvSpPr/>
      </xdr:nvSpPr>
      <xdr:spPr>
        <a:xfrm>
          <a:off x="4552950" y="30480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247650</xdr:colOff>
      <xdr:row>6</xdr:row>
      <xdr:rowOff>47625</xdr:rowOff>
    </xdr:from>
    <xdr:to>
      <xdr:col>5</xdr:col>
      <xdr:colOff>1076325</xdr:colOff>
      <xdr:row>6</xdr:row>
      <xdr:rowOff>695325</xdr:rowOff>
    </xdr:to>
    <xdr:sp macro="[0]!dieciocho" textlink="">
      <xdr:nvSpPr>
        <xdr:cNvPr id="20" name="Rectángulo 19">
          <a:extLst>
            <a:ext uri="{FF2B5EF4-FFF2-40B4-BE49-F238E27FC236}">
              <a16:creationId xmlns:a16="http://schemas.microsoft.com/office/drawing/2014/main" id="{00000000-0008-0000-0100-000014000000}"/>
            </a:ext>
          </a:extLst>
        </xdr:cNvPr>
        <xdr:cNvSpPr/>
      </xdr:nvSpPr>
      <xdr:spPr>
        <a:xfrm>
          <a:off x="5867400" y="30384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6</xdr:col>
      <xdr:colOff>247650</xdr:colOff>
      <xdr:row>6</xdr:row>
      <xdr:rowOff>57150</xdr:rowOff>
    </xdr:from>
    <xdr:to>
      <xdr:col>6</xdr:col>
      <xdr:colOff>1076325</xdr:colOff>
      <xdr:row>6</xdr:row>
      <xdr:rowOff>704850</xdr:rowOff>
    </xdr:to>
    <xdr:sp macro="[0]!diecinueve" textlink="">
      <xdr:nvSpPr>
        <xdr:cNvPr id="21" name="Rectángulo 20">
          <a:extLst>
            <a:ext uri="{FF2B5EF4-FFF2-40B4-BE49-F238E27FC236}">
              <a16:creationId xmlns:a16="http://schemas.microsoft.com/office/drawing/2014/main" id="{00000000-0008-0000-0100-000015000000}"/>
            </a:ext>
          </a:extLst>
        </xdr:cNvPr>
        <xdr:cNvSpPr/>
      </xdr:nvSpPr>
      <xdr:spPr>
        <a:xfrm>
          <a:off x="7210425" y="30480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7</xdr:col>
      <xdr:colOff>285750</xdr:colOff>
      <xdr:row>6</xdr:row>
      <xdr:rowOff>47625</xdr:rowOff>
    </xdr:from>
    <xdr:to>
      <xdr:col>7</xdr:col>
      <xdr:colOff>1114425</xdr:colOff>
      <xdr:row>6</xdr:row>
      <xdr:rowOff>695325</xdr:rowOff>
    </xdr:to>
    <xdr:sp macro="[0]!treinta" textlink="">
      <xdr:nvSpPr>
        <xdr:cNvPr id="22" name="Rectángulo 21">
          <a:extLst>
            <a:ext uri="{FF2B5EF4-FFF2-40B4-BE49-F238E27FC236}">
              <a16:creationId xmlns:a16="http://schemas.microsoft.com/office/drawing/2014/main" id="{00000000-0008-0000-0100-000016000000}"/>
            </a:ext>
          </a:extLst>
        </xdr:cNvPr>
        <xdr:cNvSpPr/>
      </xdr:nvSpPr>
      <xdr:spPr>
        <a:xfrm>
          <a:off x="8591550" y="30384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323850</xdr:colOff>
      <xdr:row>6</xdr:row>
      <xdr:rowOff>76200</xdr:rowOff>
    </xdr:from>
    <xdr:to>
      <xdr:col>1</xdr:col>
      <xdr:colOff>1152525</xdr:colOff>
      <xdr:row>6</xdr:row>
      <xdr:rowOff>723900</xdr:rowOff>
    </xdr:to>
    <xdr:sp macro="[0]!catorce" textlink="">
      <xdr:nvSpPr>
        <xdr:cNvPr id="23" name="Rectángulo 22">
          <a:extLst>
            <a:ext uri="{FF2B5EF4-FFF2-40B4-BE49-F238E27FC236}">
              <a16:creationId xmlns:a16="http://schemas.microsoft.com/office/drawing/2014/main" id="{00000000-0008-0000-0100-000017000000}"/>
            </a:ext>
          </a:extLst>
        </xdr:cNvPr>
        <xdr:cNvSpPr/>
      </xdr:nvSpPr>
      <xdr:spPr>
        <a:xfrm>
          <a:off x="523875" y="30670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209550</xdr:colOff>
      <xdr:row>8</xdr:row>
      <xdr:rowOff>76200</xdr:rowOff>
    </xdr:from>
    <xdr:to>
      <xdr:col>2</xdr:col>
      <xdr:colOff>1038225</xdr:colOff>
      <xdr:row>8</xdr:row>
      <xdr:rowOff>723900</xdr:rowOff>
    </xdr:to>
    <xdr:sp macro="[0]!treintados" textlink="">
      <xdr:nvSpPr>
        <xdr:cNvPr id="24" name="Rectángulo 23">
          <a:extLst>
            <a:ext uri="{FF2B5EF4-FFF2-40B4-BE49-F238E27FC236}">
              <a16:creationId xmlns:a16="http://schemas.microsoft.com/office/drawing/2014/main" id="{00000000-0008-0000-0100-000018000000}"/>
            </a:ext>
          </a:extLst>
        </xdr:cNvPr>
        <xdr:cNvSpPr/>
      </xdr:nvSpPr>
      <xdr:spPr>
        <a:xfrm>
          <a:off x="1800225" y="404812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3</xdr:col>
      <xdr:colOff>171450</xdr:colOff>
      <xdr:row>8</xdr:row>
      <xdr:rowOff>38100</xdr:rowOff>
    </xdr:from>
    <xdr:to>
      <xdr:col>3</xdr:col>
      <xdr:colOff>1000125</xdr:colOff>
      <xdr:row>8</xdr:row>
      <xdr:rowOff>685800</xdr:rowOff>
    </xdr:to>
    <xdr:sp macro="[0]!treintatres" textlink="">
      <xdr:nvSpPr>
        <xdr:cNvPr id="25" name="Rectángulo 24">
          <a:extLst>
            <a:ext uri="{FF2B5EF4-FFF2-40B4-BE49-F238E27FC236}">
              <a16:creationId xmlns:a16="http://schemas.microsoft.com/office/drawing/2014/main" id="{00000000-0008-0000-0100-000019000000}"/>
            </a:ext>
          </a:extLst>
        </xdr:cNvPr>
        <xdr:cNvSpPr/>
      </xdr:nvSpPr>
      <xdr:spPr>
        <a:xfrm>
          <a:off x="3105150" y="401002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4</xdr:col>
      <xdr:colOff>209550</xdr:colOff>
      <xdr:row>8</xdr:row>
      <xdr:rowOff>66675</xdr:rowOff>
    </xdr:from>
    <xdr:to>
      <xdr:col>4</xdr:col>
      <xdr:colOff>1038225</xdr:colOff>
      <xdr:row>8</xdr:row>
      <xdr:rowOff>714375</xdr:rowOff>
    </xdr:to>
    <xdr:sp macro="[0]!treintacuatro" textlink="">
      <xdr:nvSpPr>
        <xdr:cNvPr id="26" name="Rectángulo 25">
          <a:extLst>
            <a:ext uri="{FF2B5EF4-FFF2-40B4-BE49-F238E27FC236}">
              <a16:creationId xmlns:a16="http://schemas.microsoft.com/office/drawing/2014/main" id="{00000000-0008-0000-0100-00001A000000}"/>
            </a:ext>
          </a:extLst>
        </xdr:cNvPr>
        <xdr:cNvSpPr/>
      </xdr:nvSpPr>
      <xdr:spPr>
        <a:xfrm>
          <a:off x="4486275" y="40386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180975</xdr:colOff>
      <xdr:row>8</xdr:row>
      <xdr:rowOff>57150</xdr:rowOff>
    </xdr:from>
    <xdr:to>
      <xdr:col>5</xdr:col>
      <xdr:colOff>1009650</xdr:colOff>
      <xdr:row>8</xdr:row>
      <xdr:rowOff>704850</xdr:rowOff>
    </xdr:to>
    <xdr:sp macro="[0]!treintacinco" textlink="">
      <xdr:nvSpPr>
        <xdr:cNvPr id="27" name="Rectángulo 26">
          <a:extLst>
            <a:ext uri="{FF2B5EF4-FFF2-40B4-BE49-F238E27FC236}">
              <a16:creationId xmlns:a16="http://schemas.microsoft.com/office/drawing/2014/main" id="{00000000-0008-0000-0100-00001B000000}"/>
            </a:ext>
          </a:extLst>
        </xdr:cNvPr>
        <xdr:cNvSpPr/>
      </xdr:nvSpPr>
      <xdr:spPr>
        <a:xfrm>
          <a:off x="5800725" y="40290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6</xdr:col>
      <xdr:colOff>180975</xdr:colOff>
      <xdr:row>8</xdr:row>
      <xdr:rowOff>66675</xdr:rowOff>
    </xdr:from>
    <xdr:to>
      <xdr:col>6</xdr:col>
      <xdr:colOff>1009650</xdr:colOff>
      <xdr:row>8</xdr:row>
      <xdr:rowOff>714375</xdr:rowOff>
    </xdr:to>
    <xdr:sp macro="[0]!treintaseis" textlink="">
      <xdr:nvSpPr>
        <xdr:cNvPr id="28" name="Rectángulo 27">
          <a:extLst>
            <a:ext uri="{FF2B5EF4-FFF2-40B4-BE49-F238E27FC236}">
              <a16:creationId xmlns:a16="http://schemas.microsoft.com/office/drawing/2014/main" id="{00000000-0008-0000-0100-00001C000000}"/>
            </a:ext>
          </a:extLst>
        </xdr:cNvPr>
        <xdr:cNvSpPr/>
      </xdr:nvSpPr>
      <xdr:spPr>
        <a:xfrm>
          <a:off x="7143750" y="40386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7</xdr:col>
      <xdr:colOff>219075</xdr:colOff>
      <xdr:row>8</xdr:row>
      <xdr:rowOff>57150</xdr:rowOff>
    </xdr:from>
    <xdr:to>
      <xdr:col>7</xdr:col>
      <xdr:colOff>1047750</xdr:colOff>
      <xdr:row>8</xdr:row>
      <xdr:rowOff>704850</xdr:rowOff>
    </xdr:to>
    <xdr:sp macro="[0]!treintasiete" textlink="">
      <xdr:nvSpPr>
        <xdr:cNvPr id="29" name="Rectángulo 28">
          <a:extLst>
            <a:ext uri="{FF2B5EF4-FFF2-40B4-BE49-F238E27FC236}">
              <a16:creationId xmlns:a16="http://schemas.microsoft.com/office/drawing/2014/main" id="{00000000-0008-0000-0100-00001D000000}"/>
            </a:ext>
          </a:extLst>
        </xdr:cNvPr>
        <xdr:cNvSpPr/>
      </xdr:nvSpPr>
      <xdr:spPr>
        <a:xfrm>
          <a:off x="8524875" y="40290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257175</xdr:colOff>
      <xdr:row>8</xdr:row>
      <xdr:rowOff>85725</xdr:rowOff>
    </xdr:from>
    <xdr:to>
      <xdr:col>1</xdr:col>
      <xdr:colOff>1085850</xdr:colOff>
      <xdr:row>9</xdr:row>
      <xdr:rowOff>0</xdr:rowOff>
    </xdr:to>
    <xdr:sp macro="[0]!treintauno" textlink="">
      <xdr:nvSpPr>
        <xdr:cNvPr id="30" name="Rectángulo 29">
          <a:extLst>
            <a:ext uri="{FF2B5EF4-FFF2-40B4-BE49-F238E27FC236}">
              <a16:creationId xmlns:a16="http://schemas.microsoft.com/office/drawing/2014/main" id="{00000000-0008-0000-0100-00001E000000}"/>
            </a:ext>
          </a:extLst>
        </xdr:cNvPr>
        <xdr:cNvSpPr/>
      </xdr:nvSpPr>
      <xdr:spPr>
        <a:xfrm>
          <a:off x="457200" y="40576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209550</xdr:colOff>
      <xdr:row>10</xdr:row>
      <xdr:rowOff>114300</xdr:rowOff>
    </xdr:from>
    <xdr:to>
      <xdr:col>2</xdr:col>
      <xdr:colOff>1038225</xdr:colOff>
      <xdr:row>11</xdr:row>
      <xdr:rowOff>28575</xdr:rowOff>
    </xdr:to>
    <xdr:sp macro="[0]!treintanueve" textlink="">
      <xdr:nvSpPr>
        <xdr:cNvPr id="31" name="Rectángulo 30">
          <a:extLst>
            <a:ext uri="{FF2B5EF4-FFF2-40B4-BE49-F238E27FC236}">
              <a16:creationId xmlns:a16="http://schemas.microsoft.com/office/drawing/2014/main" id="{00000000-0008-0000-0100-00001F000000}"/>
            </a:ext>
          </a:extLst>
        </xdr:cNvPr>
        <xdr:cNvSpPr/>
      </xdr:nvSpPr>
      <xdr:spPr>
        <a:xfrm>
          <a:off x="1800225" y="50673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3</xdr:col>
      <xdr:colOff>171450</xdr:colOff>
      <xdr:row>10</xdr:row>
      <xdr:rowOff>76200</xdr:rowOff>
    </xdr:from>
    <xdr:to>
      <xdr:col>3</xdr:col>
      <xdr:colOff>1000125</xdr:colOff>
      <xdr:row>10</xdr:row>
      <xdr:rowOff>723900</xdr:rowOff>
    </xdr:to>
    <xdr:sp macro="[0]!cuarenta" textlink="">
      <xdr:nvSpPr>
        <xdr:cNvPr id="32" name="Rectángulo 31">
          <a:extLst>
            <a:ext uri="{FF2B5EF4-FFF2-40B4-BE49-F238E27FC236}">
              <a16:creationId xmlns:a16="http://schemas.microsoft.com/office/drawing/2014/main" id="{00000000-0008-0000-0100-000020000000}"/>
            </a:ext>
          </a:extLst>
        </xdr:cNvPr>
        <xdr:cNvSpPr/>
      </xdr:nvSpPr>
      <xdr:spPr>
        <a:xfrm>
          <a:off x="3105150" y="50292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4</xdr:col>
      <xdr:colOff>209550</xdr:colOff>
      <xdr:row>10</xdr:row>
      <xdr:rowOff>104775</xdr:rowOff>
    </xdr:from>
    <xdr:to>
      <xdr:col>4</xdr:col>
      <xdr:colOff>1038225</xdr:colOff>
      <xdr:row>11</xdr:row>
      <xdr:rowOff>19050</xdr:rowOff>
    </xdr:to>
    <xdr:sp macro="[0]!cuarentauno" textlink="">
      <xdr:nvSpPr>
        <xdr:cNvPr id="33" name="Rectángulo 32">
          <a:extLst>
            <a:ext uri="{FF2B5EF4-FFF2-40B4-BE49-F238E27FC236}">
              <a16:creationId xmlns:a16="http://schemas.microsoft.com/office/drawing/2014/main" id="{00000000-0008-0000-0100-000021000000}"/>
            </a:ext>
          </a:extLst>
        </xdr:cNvPr>
        <xdr:cNvSpPr/>
      </xdr:nvSpPr>
      <xdr:spPr>
        <a:xfrm>
          <a:off x="4486275" y="50577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180975</xdr:colOff>
      <xdr:row>10</xdr:row>
      <xdr:rowOff>95250</xdr:rowOff>
    </xdr:from>
    <xdr:to>
      <xdr:col>5</xdr:col>
      <xdr:colOff>1009650</xdr:colOff>
      <xdr:row>11</xdr:row>
      <xdr:rowOff>9525</xdr:rowOff>
    </xdr:to>
    <xdr:sp macro="[0]!cuarentados" textlink="">
      <xdr:nvSpPr>
        <xdr:cNvPr id="34" name="Rectángulo 33">
          <a:extLst>
            <a:ext uri="{FF2B5EF4-FFF2-40B4-BE49-F238E27FC236}">
              <a16:creationId xmlns:a16="http://schemas.microsoft.com/office/drawing/2014/main" id="{00000000-0008-0000-0100-000022000000}"/>
            </a:ext>
          </a:extLst>
        </xdr:cNvPr>
        <xdr:cNvSpPr/>
      </xdr:nvSpPr>
      <xdr:spPr>
        <a:xfrm>
          <a:off x="5800725" y="50482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6</xdr:col>
      <xdr:colOff>180975</xdr:colOff>
      <xdr:row>10</xdr:row>
      <xdr:rowOff>104775</xdr:rowOff>
    </xdr:from>
    <xdr:to>
      <xdr:col>6</xdr:col>
      <xdr:colOff>1009650</xdr:colOff>
      <xdr:row>11</xdr:row>
      <xdr:rowOff>19050</xdr:rowOff>
    </xdr:to>
    <xdr:sp macro="[0]!cuarentatres" textlink="">
      <xdr:nvSpPr>
        <xdr:cNvPr id="35" name="Rectángulo 34">
          <a:extLst>
            <a:ext uri="{FF2B5EF4-FFF2-40B4-BE49-F238E27FC236}">
              <a16:creationId xmlns:a16="http://schemas.microsoft.com/office/drawing/2014/main" id="{00000000-0008-0000-0100-000023000000}"/>
            </a:ext>
          </a:extLst>
        </xdr:cNvPr>
        <xdr:cNvSpPr/>
      </xdr:nvSpPr>
      <xdr:spPr>
        <a:xfrm>
          <a:off x="7143750" y="505777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7</xdr:col>
      <xdr:colOff>219075</xdr:colOff>
      <xdr:row>10</xdr:row>
      <xdr:rowOff>95250</xdr:rowOff>
    </xdr:from>
    <xdr:to>
      <xdr:col>7</xdr:col>
      <xdr:colOff>1047750</xdr:colOff>
      <xdr:row>11</xdr:row>
      <xdr:rowOff>9525</xdr:rowOff>
    </xdr:to>
    <xdr:sp macro="[0]!cuarentacuatro" textlink="">
      <xdr:nvSpPr>
        <xdr:cNvPr id="36" name="Rectángulo 35">
          <a:extLst>
            <a:ext uri="{FF2B5EF4-FFF2-40B4-BE49-F238E27FC236}">
              <a16:creationId xmlns:a16="http://schemas.microsoft.com/office/drawing/2014/main" id="{00000000-0008-0000-0100-000024000000}"/>
            </a:ext>
          </a:extLst>
        </xdr:cNvPr>
        <xdr:cNvSpPr/>
      </xdr:nvSpPr>
      <xdr:spPr>
        <a:xfrm>
          <a:off x="8524875" y="504825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257175</xdr:colOff>
      <xdr:row>10</xdr:row>
      <xdr:rowOff>123825</xdr:rowOff>
    </xdr:from>
    <xdr:to>
      <xdr:col>1</xdr:col>
      <xdr:colOff>1085850</xdr:colOff>
      <xdr:row>11</xdr:row>
      <xdr:rowOff>38100</xdr:rowOff>
    </xdr:to>
    <xdr:sp macro="[0]!treintaocho" textlink="">
      <xdr:nvSpPr>
        <xdr:cNvPr id="37" name="Rectángulo 36">
          <a:extLst>
            <a:ext uri="{FF2B5EF4-FFF2-40B4-BE49-F238E27FC236}">
              <a16:creationId xmlns:a16="http://schemas.microsoft.com/office/drawing/2014/main" id="{00000000-0008-0000-0100-000025000000}"/>
            </a:ext>
          </a:extLst>
        </xdr:cNvPr>
        <xdr:cNvSpPr/>
      </xdr:nvSpPr>
      <xdr:spPr>
        <a:xfrm>
          <a:off x="457200" y="5076825"/>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295275</xdr:colOff>
      <xdr:row>12</xdr:row>
      <xdr:rowOff>85725</xdr:rowOff>
    </xdr:from>
    <xdr:to>
      <xdr:col>1</xdr:col>
      <xdr:colOff>1123950</xdr:colOff>
      <xdr:row>13</xdr:row>
      <xdr:rowOff>0</xdr:rowOff>
    </xdr:to>
    <xdr:sp macro="[0]!cuarentacinco" textlink="">
      <xdr:nvSpPr>
        <xdr:cNvPr id="38" name="Rectángulo 37">
          <a:extLst>
            <a:ext uri="{FF2B5EF4-FFF2-40B4-BE49-F238E27FC236}">
              <a16:creationId xmlns:a16="http://schemas.microsoft.com/office/drawing/2014/main" id="{00000000-0008-0000-0100-000026000000}"/>
            </a:ext>
          </a:extLst>
        </xdr:cNvPr>
        <xdr:cNvSpPr/>
      </xdr:nvSpPr>
      <xdr:spPr>
        <a:xfrm>
          <a:off x="495300" y="6019800"/>
          <a:ext cx="828675"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editAs="oneCell">
    <xdr:from>
      <xdr:col>0</xdr:col>
      <xdr:colOff>81849</xdr:colOff>
      <xdr:row>0</xdr:row>
      <xdr:rowOff>38099</xdr:rowOff>
    </xdr:from>
    <xdr:to>
      <xdr:col>1</xdr:col>
      <xdr:colOff>219075</xdr:colOff>
      <xdr:row>0</xdr:row>
      <xdr:rowOff>390524</xdr:rowOff>
    </xdr:to>
    <xdr:pic>
      <xdr:nvPicPr>
        <xdr:cNvPr id="40" name="Imagen 39" descr="Resultado de imagen para icono configuracion">
          <a:hlinkClick xmlns:r="http://schemas.openxmlformats.org/officeDocument/2006/relationships" r:id="rId2"/>
          <a:extLst>
            <a:ext uri="{FF2B5EF4-FFF2-40B4-BE49-F238E27FC236}">
              <a16:creationId xmlns:a16="http://schemas.microsoft.com/office/drawing/2014/main" id="{00000000-0008-0000-0100-00002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849" y="38099"/>
          <a:ext cx="337251"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117021</xdr:colOff>
      <xdr:row>3</xdr:row>
      <xdr:rowOff>189235</xdr:rowOff>
    </xdr:from>
    <xdr:to>
      <xdr:col>20</xdr:col>
      <xdr:colOff>421822</xdr:colOff>
      <xdr:row>12</xdr:row>
      <xdr:rowOff>689429</xdr:rowOff>
    </xdr:to>
    <xdr:pic>
      <xdr:nvPicPr>
        <xdr:cNvPr id="43" name="Imagen 42">
          <a:extLst>
            <a:ext uri="{FF2B5EF4-FFF2-40B4-BE49-F238E27FC236}">
              <a16:creationId xmlns:a16="http://schemas.microsoft.com/office/drawing/2014/main" id="{060755C1-C2E0-11EF-FE09-0D315B9452C7}"/>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colorTemperature colorTemp="7209"/>
                  </a14:imgEffect>
                  <a14:imgEffect>
                    <a14:saturation sat="163000"/>
                  </a14:imgEffect>
                </a14:imgLayer>
              </a14:imgProps>
            </a:ext>
          </a:extLst>
        </a:blip>
        <a:stretch>
          <a:fillRect/>
        </a:stretch>
      </xdr:blipFill>
      <xdr:spPr>
        <a:xfrm>
          <a:off x="11356521" y="1944556"/>
          <a:ext cx="6305551" cy="4663980"/>
        </a:xfrm>
        <a:prstGeom prst="rect">
          <a:avLst/>
        </a:prstGeom>
        <a:effectLst>
          <a:outerShdw blurRad="152400" dist="50800" dir="5400000" sx="101000" sy="101000" algn="ctr" rotWithShape="0">
            <a:srgbClr val="000000">
              <a:alpha val="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167640</xdr:colOff>
      <xdr:row>27</xdr:row>
      <xdr:rowOff>60960</xdr:rowOff>
    </xdr:from>
    <xdr:to>
      <xdr:col>9</xdr:col>
      <xdr:colOff>701040</xdr:colOff>
      <xdr:row>29</xdr:row>
      <xdr:rowOff>30480</xdr:rowOff>
    </xdr:to>
    <xdr:sp macro="[0]!Guardar_form" textlink="">
      <xdr:nvSpPr>
        <xdr:cNvPr id="2" name="Flecha: hacia la izquierda 1">
          <a:extLst>
            <a:ext uri="{FF2B5EF4-FFF2-40B4-BE49-F238E27FC236}">
              <a16:creationId xmlns:a16="http://schemas.microsoft.com/office/drawing/2014/main" id="{00000000-0008-0000-0200-000002000000}"/>
            </a:ext>
          </a:extLst>
        </xdr:cNvPr>
        <xdr:cNvSpPr/>
      </xdr:nvSpPr>
      <xdr:spPr>
        <a:xfrm flipH="1">
          <a:off x="7299960" y="6324600"/>
          <a:ext cx="533400" cy="411480"/>
        </a:xfrm>
        <a:prstGeom prst="leftArrow">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0</xdr:col>
      <xdr:colOff>0</xdr:colOff>
      <xdr:row>0</xdr:row>
      <xdr:rowOff>15240</xdr:rowOff>
    </xdr:from>
    <xdr:to>
      <xdr:col>1</xdr:col>
      <xdr:colOff>68580</xdr:colOff>
      <xdr:row>3</xdr:row>
      <xdr:rowOff>7620</xdr:rowOff>
    </xdr:to>
    <xdr:sp macro="" textlink="">
      <xdr:nvSpPr>
        <xdr:cNvPr id="5" name="Rectángulo 4">
          <a:hlinkClick xmlns:r="http://schemas.openxmlformats.org/officeDocument/2006/relationships" r:id="rId1"/>
          <a:extLst>
            <a:ext uri="{FF2B5EF4-FFF2-40B4-BE49-F238E27FC236}">
              <a16:creationId xmlns:a16="http://schemas.microsoft.com/office/drawing/2014/main" id="{00000000-0008-0000-0200-000005000000}"/>
            </a:ext>
          </a:extLst>
        </xdr:cNvPr>
        <xdr:cNvSpPr/>
      </xdr:nvSpPr>
      <xdr:spPr>
        <a:xfrm>
          <a:off x="0" y="15240"/>
          <a:ext cx="861060" cy="5410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8</xdr:row>
          <xdr:rowOff>57150</xdr:rowOff>
        </xdr:from>
        <xdr:to>
          <xdr:col>5</xdr:col>
          <xdr:colOff>238125</xdr:colOff>
          <xdr:row>10</xdr:row>
          <xdr:rowOff>38100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HOY</a:t>
              </a:r>
            </a:p>
          </xdr:txBody>
        </xdr:sp>
        <xdr:clientData/>
      </xdr:twoCellAnchor>
    </mc:Choice>
    <mc:Fallback/>
  </mc:AlternateContent>
  <xdr:twoCellAnchor>
    <xdr:from>
      <xdr:col>8</xdr:col>
      <xdr:colOff>784860</xdr:colOff>
      <xdr:row>15</xdr:row>
      <xdr:rowOff>175260</xdr:rowOff>
    </xdr:from>
    <xdr:to>
      <xdr:col>9</xdr:col>
      <xdr:colOff>784860</xdr:colOff>
      <xdr:row>16</xdr:row>
      <xdr:rowOff>251460</xdr:rowOff>
    </xdr:to>
    <xdr:sp macro="[0]!BUSCAR" textlink="">
      <xdr:nvSpPr>
        <xdr:cNvPr id="3" name="Rectángulo 2">
          <a:extLst>
            <a:ext uri="{FF2B5EF4-FFF2-40B4-BE49-F238E27FC236}">
              <a16:creationId xmlns:a16="http://schemas.microsoft.com/office/drawing/2014/main" id="{00000000-0008-0000-0200-000003000000}"/>
            </a:ext>
          </a:extLst>
        </xdr:cNvPr>
        <xdr:cNvSpPr/>
      </xdr:nvSpPr>
      <xdr:spPr>
        <a:xfrm>
          <a:off x="7254240" y="3070860"/>
          <a:ext cx="79248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861060</xdr:colOff>
      <xdr:row>1</xdr:row>
      <xdr:rowOff>7620</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0" y="0"/>
          <a:ext cx="86106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editAs="absolute">
    <xdr:from>
      <xdr:col>6</xdr:col>
      <xdr:colOff>91440</xdr:colOff>
      <xdr:row>0</xdr:row>
      <xdr:rowOff>106680</xdr:rowOff>
    </xdr:from>
    <xdr:to>
      <xdr:col>7</xdr:col>
      <xdr:colOff>68580</xdr:colOff>
      <xdr:row>0</xdr:row>
      <xdr:rowOff>365760</xdr:rowOff>
    </xdr:to>
    <xdr:sp macro="[0]!ELIMINAR" textlink="">
      <xdr:nvSpPr>
        <xdr:cNvPr id="3" name="Rectángulo 2">
          <a:extLst>
            <a:ext uri="{FF2B5EF4-FFF2-40B4-BE49-F238E27FC236}">
              <a16:creationId xmlns:a16="http://schemas.microsoft.com/office/drawing/2014/main" id="{00000000-0008-0000-0300-000003000000}"/>
            </a:ext>
          </a:extLst>
        </xdr:cNvPr>
        <xdr:cNvSpPr/>
      </xdr:nvSpPr>
      <xdr:spPr>
        <a:xfrm>
          <a:off x="990600" y="106680"/>
          <a:ext cx="876300" cy="2590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C" sz="1100"/>
            <a:t>Eliminar</a:t>
          </a:r>
        </a:p>
      </xdr:txBody>
    </xdr:sp>
    <xdr:clientData/>
  </xdr:twoCellAnchor>
</xdr:wsDr>
</file>

<file path=xl/theme/theme1.xml><?xml version="1.0" encoding="utf-8"?>
<a:theme xmlns:a="http://schemas.openxmlformats.org/drawingml/2006/main" name="Office Theme">
  <a:themeElements>
    <a:clrScheme name="Global Calendar">
      <a:dk1>
        <a:sysClr val="windowText" lastClr="000000"/>
      </a:dk1>
      <a:lt1>
        <a:sysClr val="window" lastClr="FFFFFF"/>
      </a:lt1>
      <a:dk2>
        <a:srgbClr val="404040"/>
      </a:dk2>
      <a:lt2>
        <a:srgbClr val="F6F6F1"/>
      </a:lt2>
      <a:accent1>
        <a:srgbClr val="669933"/>
      </a:accent1>
      <a:accent2>
        <a:srgbClr val="E69216"/>
      </a:accent2>
      <a:accent3>
        <a:srgbClr val="609FC2"/>
      </a:accent3>
      <a:accent4>
        <a:srgbClr val="E6B819"/>
      </a:accent4>
      <a:accent5>
        <a:srgbClr val="DA695B"/>
      </a:accent5>
      <a:accent6>
        <a:srgbClr val="956895"/>
      </a:accent6>
      <a:hlink>
        <a:srgbClr val="609FC2"/>
      </a:hlink>
      <a:folHlink>
        <a:srgbClr val="956895"/>
      </a:folHlink>
    </a:clrScheme>
    <a:fontScheme name="Calendar">
      <a:majorFont>
        <a:latin typeface="Sylfaen"/>
        <a:ea typeface=""/>
        <a:cs typeface=""/>
      </a:majorFont>
      <a:minorFont>
        <a:latin typeface="Sylfaen"/>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pageSetUpPr autoPageBreaks="0" fitToPage="1"/>
  </sheetPr>
  <dimension ref="A1:L169"/>
  <sheetViews>
    <sheetView showGridLines="0" showRowColHeaders="0" topLeftCell="I1" zoomScaleNormal="100" workbookViewId="0">
      <selection activeCell="K2" sqref="K2"/>
    </sheetView>
  </sheetViews>
  <sheetFormatPr baseColWidth="10" defaultColWidth="0" defaultRowHeight="15" zeroHeight="1" x14ac:dyDescent="0.25"/>
  <cols>
    <col min="1" max="1" width="17" style="13" hidden="1" customWidth="1"/>
    <col min="2" max="2" width="18.25" hidden="1" customWidth="1"/>
    <col min="3" max="8" width="17.625" hidden="1" customWidth="1"/>
    <col min="9" max="9" width="2.625" customWidth="1"/>
    <col min="10" max="10" width="31.875" customWidth="1"/>
    <col min="11" max="11" width="13.625" customWidth="1"/>
    <col min="12" max="12" width="8.75" customWidth="1"/>
    <col min="13" max="16384" width="8.75" hidden="1"/>
  </cols>
  <sheetData>
    <row r="1" spans="1:11" s="57" customFormat="1" ht="33.75" customHeight="1" x14ac:dyDescent="0.4">
      <c r="A1" s="13"/>
      <c r="B1" s="17"/>
      <c r="C1" s="15"/>
      <c r="D1" s="18"/>
      <c r="E1" s="3"/>
      <c r="F1" s="3"/>
      <c r="G1" s="3"/>
      <c r="H1" s="7"/>
      <c r="I1" s="1"/>
      <c r="J1" s="55" t="s">
        <v>1</v>
      </c>
      <c r="K1" s="56"/>
    </row>
    <row r="2" spans="1:11" s="2" customFormat="1" ht="36" customHeight="1" thickBot="1" x14ac:dyDescent="0.4">
      <c r="A2" s="13"/>
      <c r="B2" s="12" t="str">
        <f>WeekStart</f>
        <v>LUNES</v>
      </c>
      <c r="C2" s="12" t="str">
        <f t="shared" ref="C2:H2" si="0">UPPER(TEXT(C3,"dddd"))</f>
        <v>MARTES</v>
      </c>
      <c r="D2" s="12" t="str">
        <f>UPPER(TEXT(D3,"dddd"))</f>
        <v>MIÉRCOLES</v>
      </c>
      <c r="E2" s="12" t="str">
        <f t="shared" si="0"/>
        <v>JUEVES</v>
      </c>
      <c r="F2" s="12" t="str">
        <f t="shared" si="0"/>
        <v>VIERNES</v>
      </c>
      <c r="G2" s="12" t="str">
        <f t="shared" si="0"/>
        <v>SÁBADO</v>
      </c>
      <c r="H2" s="12" t="str">
        <f t="shared" si="0"/>
        <v>DOMINGO</v>
      </c>
      <c r="J2" s="29" t="s">
        <v>2</v>
      </c>
      <c r="K2" s="58">
        <v>2022</v>
      </c>
    </row>
    <row r="3" spans="1:11" s="5" customFormat="1" ht="36" customHeight="1" x14ac:dyDescent="0.35">
      <c r="A3" s="22" t="str">
        <f>"ENERO1"</f>
        <v>ENERO1</v>
      </c>
      <c r="B3" s="8">
        <f t="array" ref="B3:H3">DaysAndWeeks+DATE(CalendarYear,1,1)-WEEKDAY(DATE(CalendarYear,1,1),(WeekStart="Lunes")+1)+1</f>
        <v>44557</v>
      </c>
      <c r="C3" s="8">
        <v>44558</v>
      </c>
      <c r="D3" s="8">
        <v>44559</v>
      </c>
      <c r="E3" s="8">
        <v>44560</v>
      </c>
      <c r="F3" s="8">
        <v>44561</v>
      </c>
      <c r="G3" s="8">
        <v>44562</v>
      </c>
      <c r="H3" s="8">
        <v>44563</v>
      </c>
      <c r="J3" s="29" t="s">
        <v>3</v>
      </c>
      <c r="K3" s="58" t="s">
        <v>4</v>
      </c>
    </row>
    <row r="4" spans="1:11" ht="15" customHeight="1" x14ac:dyDescent="0.25">
      <c r="B4" s="16"/>
      <c r="C4" s="16"/>
      <c r="D4" s="16"/>
      <c r="E4" s="16"/>
      <c r="F4" s="16"/>
      <c r="G4" s="16"/>
      <c r="H4" s="16"/>
      <c r="J4" s="19"/>
    </row>
    <row r="5" spans="1:11" s="5" customFormat="1" ht="15" customHeight="1" x14ac:dyDescent="0.25">
      <c r="A5" s="22" t="str">
        <f>"ENERO2"</f>
        <v>ENERO2</v>
      </c>
      <c r="B5" s="11">
        <f t="array" ref="B5:H5">DaysAndWeeks+DATE(CalendarYear,1,1)-WEEKDAY(DATE(CalendarYear,1,1),(WeekStart="Lunes")+1)+8</f>
        <v>44564</v>
      </c>
      <c r="C5" s="11">
        <v>44565</v>
      </c>
      <c r="D5" s="11">
        <v>44566</v>
      </c>
      <c r="E5" s="11">
        <v>44567</v>
      </c>
      <c r="F5" s="11">
        <v>44568</v>
      </c>
      <c r="G5" s="11">
        <v>44569</v>
      </c>
      <c r="H5" s="11">
        <v>44570</v>
      </c>
    </row>
    <row r="6" spans="1:11" s="9" customFormat="1" ht="15" hidden="1" customHeight="1" x14ac:dyDescent="0.25">
      <c r="A6" s="13"/>
      <c r="B6" s="20"/>
      <c r="C6" s="20"/>
      <c r="D6" s="20"/>
      <c r="E6" s="20"/>
      <c r="F6" s="20"/>
      <c r="G6" s="20"/>
      <c r="H6" s="20"/>
      <c r="J6" s="10"/>
    </row>
    <row r="7" spans="1:11" s="5" customFormat="1" ht="15" hidden="1" customHeight="1" x14ac:dyDescent="0.25">
      <c r="A7" s="22" t="str">
        <f>"ENERO3"</f>
        <v>ENERO3</v>
      </c>
      <c r="B7" s="8">
        <f t="array" ref="B7:H7">DaysAndWeeks+DATE(CalendarYear,1,1)-WEEKDAY(DATE(CalendarYear,1,1),(WeekStart="Lunes")+1)+15</f>
        <v>44571</v>
      </c>
      <c r="C7" s="8">
        <v>44572</v>
      </c>
      <c r="D7" s="8">
        <v>44573</v>
      </c>
      <c r="E7" s="8">
        <v>44574</v>
      </c>
      <c r="F7" s="8">
        <v>44575</v>
      </c>
      <c r="G7" s="8">
        <v>44576</v>
      </c>
      <c r="H7" s="8">
        <v>44577</v>
      </c>
      <c r="J7" s="6"/>
    </row>
    <row r="8" spans="1:11" s="9" customFormat="1" ht="15" hidden="1" customHeight="1" x14ac:dyDescent="0.25">
      <c r="A8" s="13"/>
      <c r="B8" s="16"/>
      <c r="C8" s="16"/>
      <c r="D8" s="16"/>
      <c r="E8" s="16"/>
      <c r="F8" s="16"/>
      <c r="G8" s="16"/>
      <c r="H8" s="16"/>
    </row>
    <row r="9" spans="1:11" s="5" customFormat="1" ht="15" hidden="1" customHeight="1" x14ac:dyDescent="0.25">
      <c r="A9" s="22" t="str">
        <f>"ENERO4"</f>
        <v>ENERO4</v>
      </c>
      <c r="B9" s="11">
        <f t="array" ref="B9:H9">DaysAndWeeks+DATE(CalendarYear,1,1)-WEEKDAY(DATE(CalendarYear,1,1),(WeekStart="Lunes")+1)+22</f>
        <v>44578</v>
      </c>
      <c r="C9" s="11">
        <v>44579</v>
      </c>
      <c r="D9" s="11">
        <v>44580</v>
      </c>
      <c r="E9" s="11">
        <v>44581</v>
      </c>
      <c r="F9" s="11">
        <v>44582</v>
      </c>
      <c r="G9" s="11">
        <v>44583</v>
      </c>
      <c r="H9" s="11">
        <v>44584</v>
      </c>
    </row>
    <row r="10" spans="1:11" s="9" customFormat="1" ht="15" hidden="1" customHeight="1" x14ac:dyDescent="0.25">
      <c r="A10" s="13"/>
      <c r="B10" s="20"/>
      <c r="C10" s="20"/>
      <c r="D10" s="20"/>
      <c r="E10" s="20"/>
      <c r="F10" s="20"/>
      <c r="G10" s="20"/>
      <c r="H10" s="20"/>
    </row>
    <row r="11" spans="1:11" s="5" customFormat="1" ht="15" hidden="1" customHeight="1" x14ac:dyDescent="0.25">
      <c r="A11" s="22" t="str">
        <f>"ENERO5"</f>
        <v>ENERO5</v>
      </c>
      <c r="B11" s="8">
        <f t="array" ref="B11:H11">DaysAndWeeks+DATE(CalendarYear,1,1)-WEEKDAY(DATE(CalendarYear,1,1),(WeekStart="Lunes")+1)+29</f>
        <v>44585</v>
      </c>
      <c r="C11" s="8">
        <v>44586</v>
      </c>
      <c r="D11" s="8">
        <v>44587</v>
      </c>
      <c r="E11" s="8">
        <v>44588</v>
      </c>
      <c r="F11" s="8">
        <v>44589</v>
      </c>
      <c r="G11" s="8">
        <v>44590</v>
      </c>
      <c r="H11" s="8">
        <v>44591</v>
      </c>
    </row>
    <row r="12" spans="1:11" s="9" customFormat="1" ht="15" hidden="1" customHeight="1" x14ac:dyDescent="0.25">
      <c r="A12" s="13"/>
      <c r="B12" s="16"/>
      <c r="C12" s="16"/>
      <c r="D12" s="16"/>
      <c r="E12" s="16"/>
      <c r="F12" s="16"/>
      <c r="G12" s="16"/>
      <c r="H12" s="16"/>
    </row>
    <row r="13" spans="1:11" s="5" customFormat="1" ht="15" hidden="1" customHeight="1" x14ac:dyDescent="0.25">
      <c r="A13" s="22" t="str">
        <f>"ENERO6"</f>
        <v>ENERO6</v>
      </c>
      <c r="B13" s="11">
        <f t="array" ref="B13:C13">DaysAndWeeks+DATE(CalendarYear,1,1)-WEEKDAY(DATE(CalendarYear,1,1),(WeekStart="Lunes")+1)+36</f>
        <v>44592</v>
      </c>
      <c r="C13" s="11">
        <v>44593</v>
      </c>
      <c r="D13" s="90" t="s">
        <v>0</v>
      </c>
      <c r="E13" s="91"/>
      <c r="F13" s="91"/>
      <c r="G13" s="91"/>
      <c r="H13" s="91"/>
    </row>
    <row r="14" spans="1:11" s="9" customFormat="1" ht="15" hidden="1" customHeight="1" x14ac:dyDescent="0.25">
      <c r="A14" s="13"/>
      <c r="B14" s="20"/>
      <c r="C14" s="20"/>
      <c r="D14" s="90"/>
      <c r="E14" s="91"/>
      <c r="F14" s="91"/>
      <c r="G14" s="91"/>
      <c r="H14" s="91"/>
    </row>
    <row r="18" spans="1:8" hidden="1" x14ac:dyDescent="0.25">
      <c r="A18" s="22" t="str">
        <f>"FEBRERO1"</f>
        <v>FEBRERO1</v>
      </c>
      <c r="B18" s="8">
        <f t="array" ref="B18:H18">DaysAndWeeks+DATE(CalendarYear,2,1)-WEEKDAY(DATE(CalendarYear,2,1),(WeekStart="Lunes")+1)+1</f>
        <v>44592</v>
      </c>
      <c r="C18" s="8">
        <v>44593</v>
      </c>
      <c r="D18" s="8">
        <v>44594</v>
      </c>
      <c r="E18" s="8">
        <v>44595</v>
      </c>
      <c r="F18" s="8">
        <v>44596</v>
      </c>
      <c r="G18" s="8">
        <v>44597</v>
      </c>
      <c r="H18" s="8">
        <v>44598</v>
      </c>
    </row>
    <row r="19" spans="1:8" hidden="1" x14ac:dyDescent="0.25">
      <c r="A19" s="16"/>
      <c r="B19" s="13"/>
      <c r="C19" s="13"/>
      <c r="D19" s="13"/>
      <c r="E19" s="13"/>
      <c r="F19" s="13"/>
      <c r="G19" s="13"/>
      <c r="H19" s="13"/>
    </row>
    <row r="20" spans="1:8" hidden="1" x14ac:dyDescent="0.25">
      <c r="A20" s="22" t="str">
        <f>"FEBRERO2"</f>
        <v>FEBRERO2</v>
      </c>
      <c r="B20" s="14">
        <f t="array" ref="B20:H20">DaysAndWeeks+DATE(CalendarYear,2,1)-WEEKDAY(DATE(CalendarYear,2,1),(WeekStart="Lunes")+1)+8</f>
        <v>44599</v>
      </c>
      <c r="C20" s="14">
        <v>44600</v>
      </c>
      <c r="D20" s="14">
        <v>44601</v>
      </c>
      <c r="E20" s="14">
        <v>44602</v>
      </c>
      <c r="F20" s="14">
        <v>44603</v>
      </c>
      <c r="G20" s="14">
        <v>44604</v>
      </c>
      <c r="H20" s="14">
        <v>44605</v>
      </c>
    </row>
    <row r="21" spans="1:8" hidden="1" x14ac:dyDescent="0.25">
      <c r="A21" s="16"/>
      <c r="B21" s="20"/>
      <c r="C21" s="20"/>
      <c r="D21" s="20"/>
      <c r="E21" s="20"/>
      <c r="F21" s="20"/>
      <c r="G21" s="20"/>
      <c r="H21" s="20"/>
    </row>
    <row r="22" spans="1:8" hidden="1" x14ac:dyDescent="0.25">
      <c r="A22" s="22" t="str">
        <f>"FEBRERO3"</f>
        <v>FEBRERO3</v>
      </c>
      <c r="B22" s="8">
        <f t="array" ref="B22:H22">DaysAndWeeks+DATE(CalendarYear,2,1)-WEEKDAY(DATE(CalendarYear,2,1),(WeekStart="Lunes")+1)+15</f>
        <v>44606</v>
      </c>
      <c r="C22" s="8">
        <v>44607</v>
      </c>
      <c r="D22" s="8">
        <v>44608</v>
      </c>
      <c r="E22" s="8">
        <v>44609</v>
      </c>
      <c r="F22" s="8">
        <v>44610</v>
      </c>
      <c r="G22" s="8">
        <v>44611</v>
      </c>
      <c r="H22" s="8">
        <v>44612</v>
      </c>
    </row>
    <row r="23" spans="1:8" hidden="1" x14ac:dyDescent="0.25">
      <c r="A23" s="16"/>
      <c r="B23" s="13"/>
      <c r="C23" s="13"/>
      <c r="D23" s="13"/>
      <c r="E23" s="13"/>
      <c r="F23" s="13"/>
      <c r="G23" s="13"/>
      <c r="H23" s="13"/>
    </row>
    <row r="24" spans="1:8" hidden="1" x14ac:dyDescent="0.25">
      <c r="A24" s="22" t="str">
        <f>"FEBRERO4"</f>
        <v>FEBRERO4</v>
      </c>
      <c r="B24" s="14">
        <f t="array" ref="B24:H24">DaysAndWeeks+DATE(CalendarYear,2,1)-WEEKDAY(DATE(CalendarYear,2,1),(WeekStart="Lunes")+1)+22</f>
        <v>44613</v>
      </c>
      <c r="C24" s="14">
        <v>44614</v>
      </c>
      <c r="D24" s="14">
        <v>44615</v>
      </c>
      <c r="E24" s="14">
        <v>44616</v>
      </c>
      <c r="F24" s="14">
        <v>44617</v>
      </c>
      <c r="G24" s="14">
        <v>44618</v>
      </c>
      <c r="H24" s="14">
        <v>44619</v>
      </c>
    </row>
    <row r="25" spans="1:8" hidden="1" x14ac:dyDescent="0.25">
      <c r="A25" s="16"/>
      <c r="B25" s="20"/>
      <c r="C25" s="20"/>
      <c r="D25" s="20"/>
      <c r="E25" s="20"/>
      <c r="F25" s="20"/>
      <c r="G25" s="20"/>
      <c r="H25" s="20"/>
    </row>
    <row r="26" spans="1:8" hidden="1" x14ac:dyDescent="0.25">
      <c r="A26" s="22" t="str">
        <f>"FEBRERO5"</f>
        <v>FEBRERO5</v>
      </c>
      <c r="B26" s="8">
        <f t="array" ref="B26:H26">DaysAndWeeks+DATE(CalendarYear,2,1)-WEEKDAY(DATE(CalendarYear,2,1),(WeekStart="Lunes")+1)+29</f>
        <v>44620</v>
      </c>
      <c r="C26" s="8">
        <v>44621</v>
      </c>
      <c r="D26" s="8">
        <v>44622</v>
      </c>
      <c r="E26" s="8">
        <v>44623</v>
      </c>
      <c r="F26" s="8">
        <v>44624</v>
      </c>
      <c r="G26" s="8">
        <v>44625</v>
      </c>
      <c r="H26" s="8">
        <v>44626</v>
      </c>
    </row>
    <row r="27" spans="1:8" hidden="1" x14ac:dyDescent="0.25">
      <c r="A27" s="16"/>
      <c r="B27" s="13"/>
      <c r="C27" s="13"/>
      <c r="D27" s="13"/>
      <c r="E27" s="13"/>
      <c r="F27" s="13"/>
      <c r="G27" s="13"/>
      <c r="H27" s="13"/>
    </row>
    <row r="28" spans="1:8" hidden="1" x14ac:dyDescent="0.25">
      <c r="A28" s="22" t="str">
        <f>"FEBRERO6"</f>
        <v>FEBRERO6</v>
      </c>
      <c r="B28" s="14">
        <f t="array" ref="B28:C28">DaysAndWeeks+DATE(CalendarYear,2,1)-WEEKDAY(DATE(CalendarYear,2,1),(WeekStart="Lunes")+1)+36</f>
        <v>44627</v>
      </c>
      <c r="C28" s="14">
        <v>44628</v>
      </c>
      <c r="D28" s="90" t="s">
        <v>0</v>
      </c>
      <c r="E28" s="91"/>
      <c r="F28" s="91"/>
      <c r="G28" s="91"/>
      <c r="H28" s="91"/>
    </row>
    <row r="29" spans="1:8" hidden="1" x14ac:dyDescent="0.25">
      <c r="B29" s="20"/>
      <c r="C29" s="20"/>
      <c r="D29" s="90"/>
      <c r="E29" s="91"/>
      <c r="F29" s="91"/>
      <c r="G29" s="91"/>
      <c r="H29" s="91"/>
    </row>
    <row r="32" spans="1:8" hidden="1" x14ac:dyDescent="0.25">
      <c r="A32" s="22" t="str">
        <f>"MARZO1"</f>
        <v>MARZO1</v>
      </c>
      <c r="B32" s="8">
        <f t="array" ref="B32:H32">DaysAndWeeks+DATE(CalendarYear,3,1)-WEEKDAY(DATE(CalendarYear,3,1),(WeekStart="Lunes")+1)+1</f>
        <v>44620</v>
      </c>
      <c r="C32" s="8">
        <v>44621</v>
      </c>
      <c r="D32" s="8">
        <v>44622</v>
      </c>
      <c r="E32" s="8">
        <v>44623</v>
      </c>
      <c r="F32" s="8">
        <v>44624</v>
      </c>
      <c r="G32" s="8">
        <v>44625</v>
      </c>
      <c r="H32" s="8">
        <v>44626</v>
      </c>
    </row>
    <row r="33" spans="1:8" hidden="1" x14ac:dyDescent="0.25">
      <c r="A33" s="16"/>
      <c r="B33" s="16"/>
      <c r="C33" s="16"/>
      <c r="D33" s="16"/>
      <c r="E33" s="16"/>
      <c r="F33" s="16"/>
      <c r="G33" s="16"/>
      <c r="H33" s="16"/>
    </row>
    <row r="34" spans="1:8" hidden="1" x14ac:dyDescent="0.25">
      <c r="A34" s="22" t="str">
        <f>"MARZO2"</f>
        <v>MARZO2</v>
      </c>
      <c r="B34" s="14">
        <f t="array" ref="B34:H34">DaysAndWeeks+DATE(CalendarYear,3,1)-WEEKDAY(DATE(CalendarYear,3,1),(WeekStart="Lunes")+1)+8</f>
        <v>44627</v>
      </c>
      <c r="C34" s="14">
        <v>44628</v>
      </c>
      <c r="D34" s="14">
        <v>44629</v>
      </c>
      <c r="E34" s="14">
        <v>44630</v>
      </c>
      <c r="F34" s="14">
        <v>44631</v>
      </c>
      <c r="G34" s="14">
        <v>44632</v>
      </c>
      <c r="H34" s="14">
        <v>44633</v>
      </c>
    </row>
    <row r="35" spans="1:8" hidden="1" x14ac:dyDescent="0.25">
      <c r="A35" s="16"/>
      <c r="B35" s="20"/>
      <c r="C35" s="20"/>
      <c r="D35" s="20"/>
      <c r="E35" s="20"/>
      <c r="F35" s="20"/>
      <c r="G35" s="20"/>
      <c r="H35" s="20"/>
    </row>
    <row r="36" spans="1:8" hidden="1" x14ac:dyDescent="0.25">
      <c r="A36" s="22" t="str">
        <f>"MARZO3"</f>
        <v>MARZO3</v>
      </c>
      <c r="B36" s="8">
        <f t="array" ref="B36:H36">DaysAndWeeks+DATE(CalendarYear,3,1)-WEEKDAY(DATE(CalendarYear,3,1),(WeekStart="Lunes")+1)+15</f>
        <v>44634</v>
      </c>
      <c r="C36" s="8">
        <v>44635</v>
      </c>
      <c r="D36" s="8">
        <v>44636</v>
      </c>
      <c r="E36" s="8">
        <v>44637</v>
      </c>
      <c r="F36" s="8">
        <v>44638</v>
      </c>
      <c r="G36" s="8">
        <v>44639</v>
      </c>
      <c r="H36" s="8">
        <v>44640</v>
      </c>
    </row>
    <row r="37" spans="1:8" hidden="1" x14ac:dyDescent="0.25">
      <c r="A37" s="16"/>
      <c r="B37" s="16"/>
      <c r="C37" s="16"/>
      <c r="D37" s="16"/>
      <c r="E37" s="16"/>
      <c r="F37" s="16"/>
      <c r="G37" s="16"/>
      <c r="H37" s="16"/>
    </row>
    <row r="38" spans="1:8" hidden="1" x14ac:dyDescent="0.25">
      <c r="A38" s="22" t="str">
        <f>"MARZO4"</f>
        <v>MARZO4</v>
      </c>
      <c r="B38" s="14">
        <f t="array" ref="B38:H38">DaysAndWeeks+DATE(CalendarYear,3,1)-WEEKDAY(DATE(CalendarYear,3,1),(WeekStart="Lunes")+1)+22</f>
        <v>44641</v>
      </c>
      <c r="C38" s="14">
        <v>44642</v>
      </c>
      <c r="D38" s="14">
        <v>44643</v>
      </c>
      <c r="E38" s="14">
        <v>44644</v>
      </c>
      <c r="F38" s="14">
        <v>44645</v>
      </c>
      <c r="G38" s="14">
        <v>44646</v>
      </c>
      <c r="H38" s="14">
        <v>44647</v>
      </c>
    </row>
    <row r="39" spans="1:8" hidden="1" x14ac:dyDescent="0.25">
      <c r="A39" s="16"/>
      <c r="B39" s="20"/>
      <c r="C39" s="20"/>
      <c r="D39" s="20"/>
      <c r="E39" s="20"/>
      <c r="F39" s="20"/>
      <c r="G39" s="20"/>
      <c r="H39" s="20"/>
    </row>
    <row r="40" spans="1:8" hidden="1" x14ac:dyDescent="0.25">
      <c r="A40" s="22" t="str">
        <f>"MARZO5"</f>
        <v>MARZO5</v>
      </c>
      <c r="B40" s="8">
        <f t="array" ref="B40:H40">DaysAndWeeks+DATE(CalendarYear,3,1)-WEEKDAY(DATE(CalendarYear,3,1),(WeekStart="Lunes")+1)+29</f>
        <v>44648</v>
      </c>
      <c r="C40" s="8">
        <v>44649</v>
      </c>
      <c r="D40" s="8">
        <v>44650</v>
      </c>
      <c r="E40" s="8">
        <v>44651</v>
      </c>
      <c r="F40" s="8">
        <v>44652</v>
      </c>
      <c r="G40" s="8">
        <v>44653</v>
      </c>
      <c r="H40" s="8">
        <v>44654</v>
      </c>
    </row>
    <row r="41" spans="1:8" hidden="1" x14ac:dyDescent="0.25">
      <c r="A41" s="16"/>
      <c r="B41" s="16"/>
      <c r="C41" s="16"/>
      <c r="D41" s="16"/>
      <c r="E41" s="16"/>
      <c r="F41" s="16"/>
      <c r="G41" s="16"/>
      <c r="H41" s="16"/>
    </row>
    <row r="42" spans="1:8" hidden="1" x14ac:dyDescent="0.25">
      <c r="A42" s="22" t="str">
        <f>"MARZO6"</f>
        <v>MARZO6</v>
      </c>
      <c r="B42" s="14">
        <f t="array" ref="B42:C42">DaysAndWeeks+DATE(CalendarYear,3,1)-WEEKDAY(DATE(CalendarYear,3,1),(WeekStart="Lunes")+1)+36</f>
        <v>44655</v>
      </c>
      <c r="C42" s="14">
        <v>44656</v>
      </c>
      <c r="D42" s="90" t="s">
        <v>0</v>
      </c>
      <c r="E42" s="91"/>
      <c r="F42" s="91"/>
      <c r="G42" s="91"/>
      <c r="H42" s="91"/>
    </row>
    <row r="43" spans="1:8" hidden="1" x14ac:dyDescent="0.25">
      <c r="B43" s="20"/>
      <c r="C43" s="20"/>
      <c r="D43" s="90"/>
      <c r="E43" s="91"/>
      <c r="F43" s="91"/>
      <c r="G43" s="91"/>
      <c r="H43" s="91"/>
    </row>
    <row r="46" spans="1:8" hidden="1" x14ac:dyDescent="0.25">
      <c r="A46" s="22" t="str">
        <f>"ABRIL1"</f>
        <v>ABRIL1</v>
      </c>
      <c r="B46" s="8">
        <f t="array" ref="B46:H46">DaysAndWeeks+DATE(CalendarYear,4,1)-WEEKDAY(DATE(CalendarYear,4,1),(WeekStart="Lunes")+1)+1</f>
        <v>44648</v>
      </c>
      <c r="C46" s="8">
        <v>44649</v>
      </c>
      <c r="D46" s="8">
        <v>44650</v>
      </c>
      <c r="E46" s="8">
        <v>44651</v>
      </c>
      <c r="F46" s="8">
        <v>44652</v>
      </c>
      <c r="G46" s="8">
        <v>44653</v>
      </c>
      <c r="H46" s="8">
        <v>44654</v>
      </c>
    </row>
    <row r="47" spans="1:8" hidden="1" x14ac:dyDescent="0.25">
      <c r="A47" s="16"/>
      <c r="B47" s="16"/>
      <c r="C47" s="16"/>
      <c r="D47" s="16"/>
      <c r="E47" s="16"/>
      <c r="F47" s="16"/>
      <c r="G47" s="16"/>
      <c r="H47" s="16"/>
    </row>
    <row r="48" spans="1:8" hidden="1" x14ac:dyDescent="0.25">
      <c r="A48" s="22" t="str">
        <f>"ABRIL2"</f>
        <v>ABRIL2</v>
      </c>
      <c r="B48" s="14">
        <f t="array" ref="B48:H48">DaysAndWeeks+DATE(CalendarYear,4,1)-WEEKDAY(DATE(CalendarYear,4,1),(WeekStart="Lunes")+1)+8</f>
        <v>44655</v>
      </c>
      <c r="C48" s="14">
        <v>44656</v>
      </c>
      <c r="D48" s="14">
        <v>44657</v>
      </c>
      <c r="E48" s="14">
        <v>44658</v>
      </c>
      <c r="F48" s="14">
        <v>44659</v>
      </c>
      <c r="G48" s="14">
        <v>44660</v>
      </c>
      <c r="H48" s="14">
        <v>44661</v>
      </c>
    </row>
    <row r="49" spans="1:8" hidden="1" x14ac:dyDescent="0.25">
      <c r="A49" s="16"/>
      <c r="B49" s="20"/>
      <c r="C49" s="20"/>
      <c r="D49" s="20"/>
      <c r="E49" s="20"/>
      <c r="F49" s="20"/>
      <c r="G49" s="20"/>
      <c r="H49" s="20"/>
    </row>
    <row r="50" spans="1:8" hidden="1" x14ac:dyDescent="0.25">
      <c r="A50" s="22" t="str">
        <f>"ABRIL3"</f>
        <v>ABRIL3</v>
      </c>
      <c r="B50" s="8">
        <f t="array" ref="B50:H50">DaysAndWeeks+DATE(CalendarYear,4,1)-WEEKDAY(DATE(CalendarYear,4,1),(WeekStart="Lunes")+1)+15</f>
        <v>44662</v>
      </c>
      <c r="C50" s="8">
        <v>44663</v>
      </c>
      <c r="D50" s="8">
        <v>44664</v>
      </c>
      <c r="E50" s="8">
        <v>44665</v>
      </c>
      <c r="F50" s="8">
        <v>44666</v>
      </c>
      <c r="G50" s="8">
        <v>44667</v>
      </c>
      <c r="H50" s="8">
        <v>44668</v>
      </c>
    </row>
    <row r="51" spans="1:8" hidden="1" x14ac:dyDescent="0.25">
      <c r="A51" s="16"/>
      <c r="B51" s="16"/>
      <c r="C51" s="16"/>
      <c r="D51" s="16"/>
      <c r="E51" s="16"/>
      <c r="F51" s="16"/>
      <c r="G51" s="16"/>
      <c r="H51" s="16"/>
    </row>
    <row r="52" spans="1:8" hidden="1" x14ac:dyDescent="0.25">
      <c r="A52" s="22" t="str">
        <f>"ABRIL4"</f>
        <v>ABRIL4</v>
      </c>
      <c r="B52" s="14">
        <f t="array" ref="B52:H52">DaysAndWeeks+DATE(CalendarYear,4,1)-WEEKDAY(DATE(CalendarYear,4,1),(WeekStart="Lunes")+1)+22</f>
        <v>44669</v>
      </c>
      <c r="C52" s="14">
        <v>44670</v>
      </c>
      <c r="D52" s="14">
        <v>44671</v>
      </c>
      <c r="E52" s="14">
        <v>44672</v>
      </c>
      <c r="F52" s="14">
        <v>44673</v>
      </c>
      <c r="G52" s="14">
        <v>44674</v>
      </c>
      <c r="H52" s="14">
        <v>44675</v>
      </c>
    </row>
    <row r="53" spans="1:8" hidden="1" x14ac:dyDescent="0.25">
      <c r="A53" s="16"/>
      <c r="B53" s="20"/>
      <c r="C53" s="20"/>
      <c r="D53" s="20"/>
      <c r="E53" s="20"/>
      <c r="F53" s="20"/>
      <c r="G53" s="20"/>
      <c r="H53" s="20"/>
    </row>
    <row r="54" spans="1:8" hidden="1" x14ac:dyDescent="0.25">
      <c r="A54" s="22" t="str">
        <f>"ABRIL5"</f>
        <v>ABRIL5</v>
      </c>
      <c r="B54" s="8">
        <f t="array" ref="B54:H54">DaysAndWeeks+DATE(CalendarYear,4,1)-WEEKDAY(DATE(CalendarYear,4,1),(WeekStart="Lunes")+1)+29</f>
        <v>44676</v>
      </c>
      <c r="C54" s="8">
        <v>44677</v>
      </c>
      <c r="D54" s="8">
        <v>44678</v>
      </c>
      <c r="E54" s="8">
        <v>44679</v>
      </c>
      <c r="F54" s="8">
        <v>44680</v>
      </c>
      <c r="G54" s="8">
        <v>44681</v>
      </c>
      <c r="H54" s="8">
        <v>44682</v>
      </c>
    </row>
    <row r="55" spans="1:8" hidden="1" x14ac:dyDescent="0.25">
      <c r="A55" s="16"/>
      <c r="B55" s="16"/>
      <c r="C55" s="16"/>
      <c r="D55" s="16"/>
      <c r="E55" s="16"/>
      <c r="F55" s="16"/>
      <c r="G55" s="16"/>
      <c r="H55" s="16"/>
    </row>
    <row r="56" spans="1:8" hidden="1" x14ac:dyDescent="0.25">
      <c r="A56" s="22" t="str">
        <f>"ABRIL6"</f>
        <v>ABRIL6</v>
      </c>
      <c r="B56" s="14">
        <f t="array" ref="B56:C56">DaysAndWeeks+DATE(CalendarYear,4,1)-WEEKDAY(DATE(CalendarYear,4,1),(WeekStart="Lunes")+1)+36</f>
        <v>44683</v>
      </c>
      <c r="C56" s="14">
        <v>44684</v>
      </c>
      <c r="D56" s="90" t="s">
        <v>0</v>
      </c>
      <c r="E56" s="91"/>
      <c r="F56" s="91"/>
      <c r="G56" s="91"/>
      <c r="H56" s="91"/>
    </row>
    <row r="57" spans="1:8" hidden="1" x14ac:dyDescent="0.25">
      <c r="B57" s="20"/>
      <c r="C57" s="20"/>
      <c r="D57" s="90"/>
      <c r="E57" s="91"/>
      <c r="F57" s="91"/>
      <c r="G57" s="91"/>
      <c r="H57" s="91"/>
    </row>
    <row r="60" spans="1:8" hidden="1" x14ac:dyDescent="0.25">
      <c r="A60" s="22" t="str">
        <f>"MAYO1"</f>
        <v>MAYO1</v>
      </c>
      <c r="B60" s="8">
        <f t="array" ref="B60:H60">DaysAndWeeks+DATE(CalendarYear,5,1)-WEEKDAY(DATE(CalendarYear,5,1),(WeekStart="Lunes")+1)+1</f>
        <v>44676</v>
      </c>
      <c r="C60" s="8">
        <v>44677</v>
      </c>
      <c r="D60" s="8">
        <v>44678</v>
      </c>
      <c r="E60" s="8">
        <v>44679</v>
      </c>
      <c r="F60" s="8">
        <v>44680</v>
      </c>
      <c r="G60" s="8">
        <v>44681</v>
      </c>
      <c r="H60" s="8">
        <v>44682</v>
      </c>
    </row>
    <row r="61" spans="1:8" hidden="1" x14ac:dyDescent="0.25">
      <c r="B61" s="16"/>
      <c r="C61" s="16"/>
      <c r="D61" s="16"/>
      <c r="E61" s="16"/>
      <c r="F61" s="16"/>
      <c r="G61" s="16"/>
      <c r="H61" s="16"/>
    </row>
    <row r="62" spans="1:8" hidden="1" x14ac:dyDescent="0.25">
      <c r="A62" s="22" t="str">
        <f>"MAYO2"</f>
        <v>MAYO2</v>
      </c>
      <c r="B62" s="14">
        <f t="array" ref="B62:H62">DaysAndWeeks+DATE(CalendarYear,5,1)-WEEKDAY(DATE(CalendarYear,5,1),(WeekStart="Lunes")+1)+8</f>
        <v>44683</v>
      </c>
      <c r="C62" s="14">
        <v>44684</v>
      </c>
      <c r="D62" s="14">
        <v>44685</v>
      </c>
      <c r="E62" s="14">
        <v>44686</v>
      </c>
      <c r="F62" s="14">
        <v>44687</v>
      </c>
      <c r="G62" s="14">
        <v>44688</v>
      </c>
      <c r="H62" s="14">
        <v>44689</v>
      </c>
    </row>
    <row r="63" spans="1:8" hidden="1" x14ac:dyDescent="0.25">
      <c r="B63" s="21"/>
      <c r="C63" s="21"/>
      <c r="D63" s="21"/>
      <c r="E63" s="21"/>
      <c r="F63" s="21"/>
      <c r="G63" s="21"/>
      <c r="H63" s="21"/>
    </row>
    <row r="64" spans="1:8" hidden="1" x14ac:dyDescent="0.25">
      <c r="A64" s="22" t="str">
        <f>"MAYO3"</f>
        <v>MAYO3</v>
      </c>
      <c r="B64" s="8">
        <f t="array" ref="B64:H64">DaysAndWeeks+DATE(CalendarYear,5,1)-WEEKDAY(DATE(CalendarYear,5,1),(WeekStart="Lunes")+1)+15</f>
        <v>44690</v>
      </c>
      <c r="C64" s="8">
        <v>44691</v>
      </c>
      <c r="D64" s="8">
        <v>44692</v>
      </c>
      <c r="E64" s="8">
        <v>44693</v>
      </c>
      <c r="F64" s="8">
        <v>44694</v>
      </c>
      <c r="G64" s="8">
        <v>44695</v>
      </c>
      <c r="H64" s="8">
        <v>44696</v>
      </c>
    </row>
    <row r="65" spans="1:8" hidden="1" x14ac:dyDescent="0.25">
      <c r="B65" s="16"/>
      <c r="C65" s="16"/>
      <c r="D65" s="16"/>
      <c r="E65" s="16"/>
      <c r="F65" s="16"/>
      <c r="G65" s="16"/>
      <c r="H65" s="16"/>
    </row>
    <row r="66" spans="1:8" hidden="1" x14ac:dyDescent="0.25">
      <c r="A66" s="22" t="str">
        <f>"MAYO4"</f>
        <v>MAYO4</v>
      </c>
      <c r="B66" s="14">
        <f t="array" ref="B66:H66">DaysAndWeeks+DATE(CalendarYear,5,1)-WEEKDAY(DATE(CalendarYear,5,1),(WeekStart="Lunes")+1)+22</f>
        <v>44697</v>
      </c>
      <c r="C66" s="14">
        <v>44698</v>
      </c>
      <c r="D66" s="14">
        <v>44699</v>
      </c>
      <c r="E66" s="14">
        <v>44700</v>
      </c>
      <c r="F66" s="14">
        <v>44701</v>
      </c>
      <c r="G66" s="14">
        <v>44702</v>
      </c>
      <c r="H66" s="14">
        <v>44703</v>
      </c>
    </row>
    <row r="67" spans="1:8" hidden="1" x14ac:dyDescent="0.25">
      <c r="B67" s="21"/>
      <c r="C67" s="21"/>
      <c r="D67" s="21"/>
      <c r="E67" s="21"/>
      <c r="F67" s="21"/>
      <c r="G67" s="21"/>
      <c r="H67" s="21"/>
    </row>
    <row r="68" spans="1:8" hidden="1" x14ac:dyDescent="0.25">
      <c r="A68" s="22" t="str">
        <f>"MAYO5"</f>
        <v>MAYO5</v>
      </c>
      <c r="B68" s="8">
        <f t="array" ref="B68:H68">DaysAndWeeks+DATE(CalendarYear,5,1)-WEEKDAY(DATE(CalendarYear,5,1),(WeekStart="Lunes")+1)+29</f>
        <v>44704</v>
      </c>
      <c r="C68" s="8">
        <v>44705</v>
      </c>
      <c r="D68" s="8">
        <v>44706</v>
      </c>
      <c r="E68" s="8">
        <v>44707</v>
      </c>
      <c r="F68" s="8">
        <v>44708</v>
      </c>
      <c r="G68" s="8">
        <v>44709</v>
      </c>
      <c r="H68" s="8">
        <v>44710</v>
      </c>
    </row>
    <row r="69" spans="1:8" hidden="1" x14ac:dyDescent="0.25">
      <c r="B69" s="16"/>
      <c r="C69" s="16"/>
      <c r="D69" s="16"/>
      <c r="E69" s="16"/>
      <c r="F69" s="16"/>
      <c r="G69" s="16"/>
      <c r="H69" s="16"/>
    </row>
    <row r="70" spans="1:8" hidden="1" x14ac:dyDescent="0.25">
      <c r="A70" s="22" t="str">
        <f>"MAYO6"</f>
        <v>MAYO6</v>
      </c>
      <c r="B70" s="14">
        <f t="array" ref="B70:C70">DaysAndWeeks+DATE(CalendarYear,5,1)-WEEKDAY(DATE(CalendarYear,5,1),(WeekStart="Lunes")+1)+36</f>
        <v>44711</v>
      </c>
      <c r="C70" s="14">
        <v>44712</v>
      </c>
      <c r="D70" s="90" t="s">
        <v>0</v>
      </c>
      <c r="E70" s="91"/>
      <c r="F70" s="91"/>
      <c r="G70" s="91"/>
      <c r="H70" s="91"/>
    </row>
    <row r="71" spans="1:8" hidden="1" x14ac:dyDescent="0.25">
      <c r="B71" s="21"/>
      <c r="C71" s="21"/>
      <c r="D71" s="90"/>
      <c r="E71" s="91"/>
      <c r="F71" s="91"/>
      <c r="G71" s="91"/>
      <c r="H71" s="91"/>
    </row>
    <row r="74" spans="1:8" hidden="1" x14ac:dyDescent="0.25">
      <c r="A74" s="22" t="str">
        <f>"JUNIO1"</f>
        <v>JUNIO1</v>
      </c>
      <c r="B74" s="8">
        <f t="array" ref="B74:H74">DaysAndWeeks+DATE(CalendarYear,6,1)-WEEKDAY(DATE(CalendarYear,6,1),(WeekStart="Lunes")+1)+1</f>
        <v>44711</v>
      </c>
      <c r="C74" s="8">
        <v>44712</v>
      </c>
      <c r="D74" s="8">
        <v>44713</v>
      </c>
      <c r="E74" s="8">
        <v>44714</v>
      </c>
      <c r="F74" s="8">
        <v>44715</v>
      </c>
      <c r="G74" s="8">
        <v>44716</v>
      </c>
      <c r="H74" s="8">
        <v>44717</v>
      </c>
    </row>
    <row r="75" spans="1:8" hidden="1" x14ac:dyDescent="0.25">
      <c r="A75" s="16"/>
      <c r="B75" s="16"/>
      <c r="C75" s="16"/>
      <c r="D75" s="16"/>
      <c r="E75" s="16"/>
      <c r="F75" s="16"/>
      <c r="G75" s="16"/>
      <c r="H75" s="16"/>
    </row>
    <row r="76" spans="1:8" hidden="1" x14ac:dyDescent="0.25">
      <c r="A76" s="22" t="str">
        <f>"JUNIO2"</f>
        <v>JUNIO2</v>
      </c>
      <c r="B76" s="14">
        <f t="array" ref="B76:H76">DaysAndWeeks+DATE(CalendarYear,6,1)-WEEKDAY(DATE(CalendarYear,6,1),(WeekStart="Lunes")+1)+8</f>
        <v>44718</v>
      </c>
      <c r="C76" s="14">
        <v>44719</v>
      </c>
      <c r="D76" s="14">
        <v>44720</v>
      </c>
      <c r="E76" s="14">
        <v>44721</v>
      </c>
      <c r="F76" s="14">
        <v>44722</v>
      </c>
      <c r="G76" s="14">
        <v>44723</v>
      </c>
      <c r="H76" s="14">
        <v>44724</v>
      </c>
    </row>
    <row r="77" spans="1:8" hidden="1" x14ac:dyDescent="0.25">
      <c r="A77" s="16"/>
      <c r="B77" s="21"/>
      <c r="C77" s="21"/>
      <c r="D77" s="21"/>
      <c r="E77" s="21"/>
      <c r="F77" s="21"/>
      <c r="G77" s="21"/>
      <c r="H77" s="21"/>
    </row>
    <row r="78" spans="1:8" hidden="1" x14ac:dyDescent="0.25">
      <c r="A78" s="22" t="str">
        <f>"JUNIO3"</f>
        <v>JUNIO3</v>
      </c>
      <c r="B78" s="8">
        <f t="array" ref="B78:H78">DaysAndWeeks+DATE(CalendarYear,6,1)-WEEKDAY(DATE(CalendarYear,6,1),(WeekStart="Lunes")+1)+15</f>
        <v>44725</v>
      </c>
      <c r="C78" s="8">
        <v>44726</v>
      </c>
      <c r="D78" s="8">
        <v>44727</v>
      </c>
      <c r="E78" s="8">
        <v>44728</v>
      </c>
      <c r="F78" s="8">
        <v>44729</v>
      </c>
      <c r="G78" s="8">
        <v>44730</v>
      </c>
      <c r="H78" s="8">
        <v>44731</v>
      </c>
    </row>
    <row r="79" spans="1:8" hidden="1" x14ac:dyDescent="0.25">
      <c r="A79" s="16"/>
      <c r="B79" s="16"/>
      <c r="C79" s="16"/>
      <c r="D79" s="16"/>
      <c r="E79" s="16"/>
      <c r="F79" s="16"/>
      <c r="G79" s="16"/>
      <c r="H79" s="16"/>
    </row>
    <row r="80" spans="1:8" hidden="1" x14ac:dyDescent="0.25">
      <c r="A80" s="22" t="str">
        <f>"JUNIO4"</f>
        <v>JUNIO4</v>
      </c>
      <c r="B80" s="14">
        <f t="array" ref="B80:H80">DaysAndWeeks+DATE(CalendarYear,6,1)-WEEKDAY(DATE(CalendarYear,6,1),(WeekStart="Lunes")+1)+22</f>
        <v>44732</v>
      </c>
      <c r="C80" s="14">
        <v>44733</v>
      </c>
      <c r="D80" s="14">
        <v>44734</v>
      </c>
      <c r="E80" s="14">
        <v>44735</v>
      </c>
      <c r="F80" s="14">
        <v>44736</v>
      </c>
      <c r="G80" s="14">
        <v>44737</v>
      </c>
      <c r="H80" s="14">
        <v>44738</v>
      </c>
    </row>
    <row r="81" spans="1:8" hidden="1" x14ac:dyDescent="0.25">
      <c r="A81" s="16"/>
      <c r="B81" s="21"/>
      <c r="C81" s="21"/>
      <c r="D81" s="21"/>
      <c r="E81" s="21"/>
      <c r="F81" s="21"/>
      <c r="G81" s="21"/>
      <c r="H81" s="21"/>
    </row>
    <row r="82" spans="1:8" hidden="1" x14ac:dyDescent="0.25">
      <c r="A82" s="22" t="str">
        <f>"JUNIO5"</f>
        <v>JUNIO5</v>
      </c>
      <c r="B82" s="8">
        <f t="array" ref="B82:H82">DaysAndWeeks+DATE(CalendarYear,6,1)-WEEKDAY(DATE(CalendarYear,6,1),(WeekStart="Lunes")+1)+29</f>
        <v>44739</v>
      </c>
      <c r="C82" s="8">
        <v>44740</v>
      </c>
      <c r="D82" s="8">
        <v>44741</v>
      </c>
      <c r="E82" s="8">
        <v>44742</v>
      </c>
      <c r="F82" s="8">
        <v>44743</v>
      </c>
      <c r="G82" s="8">
        <v>44744</v>
      </c>
      <c r="H82" s="8">
        <v>44745</v>
      </c>
    </row>
    <row r="83" spans="1:8" hidden="1" x14ac:dyDescent="0.25">
      <c r="A83" s="16"/>
      <c r="B83" s="16"/>
      <c r="C83" s="16"/>
      <c r="D83" s="16"/>
      <c r="E83" s="16"/>
      <c r="F83" s="16"/>
      <c r="G83" s="16"/>
      <c r="H83" s="16"/>
    </row>
    <row r="84" spans="1:8" hidden="1" x14ac:dyDescent="0.25">
      <c r="A84" s="22" t="str">
        <f>"JUNIO6"</f>
        <v>JUNIO6</v>
      </c>
      <c r="B84" s="14">
        <f t="array" ref="B84:C84">DaysAndWeeks+DATE(CalendarYear,6,1)-WEEKDAY(DATE(CalendarYear,6,1),(WeekStart="Lunes")+1)+36</f>
        <v>44746</v>
      </c>
      <c r="C84" s="14">
        <v>44747</v>
      </c>
      <c r="D84" s="90" t="s">
        <v>0</v>
      </c>
      <c r="E84" s="91"/>
      <c r="F84" s="91"/>
      <c r="G84" s="91"/>
      <c r="H84" s="91"/>
    </row>
    <row r="85" spans="1:8" hidden="1" x14ac:dyDescent="0.25">
      <c r="B85" s="21"/>
      <c r="C85" s="21"/>
      <c r="D85" s="90"/>
      <c r="E85" s="91"/>
      <c r="F85" s="91"/>
      <c r="G85" s="91"/>
      <c r="H85" s="91"/>
    </row>
    <row r="88" spans="1:8" hidden="1" x14ac:dyDescent="0.25">
      <c r="A88" s="22" t="str">
        <f>"JULIO1"</f>
        <v>JULIO1</v>
      </c>
      <c r="B88" s="8">
        <f t="array" ref="B88:H88">DaysAndWeeks+DATE(CalendarYear,7,1)-WEEKDAY(DATE(CalendarYear,7,1),(WeekStart="Lunes")+1)+1</f>
        <v>44739</v>
      </c>
      <c r="C88" s="8">
        <v>44740</v>
      </c>
      <c r="D88" s="8">
        <v>44741</v>
      </c>
      <c r="E88" s="8">
        <v>44742</v>
      </c>
      <c r="F88" s="8">
        <v>44743</v>
      </c>
      <c r="G88" s="8">
        <v>44744</v>
      </c>
      <c r="H88" s="8">
        <v>44745</v>
      </c>
    </row>
    <row r="89" spans="1:8" hidden="1" x14ac:dyDescent="0.25">
      <c r="A89" s="16"/>
      <c r="B89" s="16"/>
      <c r="C89" s="16"/>
      <c r="D89" s="16"/>
      <c r="E89" s="16"/>
      <c r="F89" s="16"/>
      <c r="G89" s="16"/>
      <c r="H89" s="16"/>
    </row>
    <row r="90" spans="1:8" hidden="1" x14ac:dyDescent="0.25">
      <c r="A90" s="22" t="str">
        <f>"JULIO2"</f>
        <v>JULIO2</v>
      </c>
      <c r="B90" s="14">
        <f t="array" ref="B90:H90">DaysAndWeeks+DATE(CalendarYear,7,1)-WEEKDAY(DATE(CalendarYear,7,1),(WeekStart="Lunes")+1)+8</f>
        <v>44746</v>
      </c>
      <c r="C90" s="14">
        <v>44747</v>
      </c>
      <c r="D90" s="14">
        <v>44748</v>
      </c>
      <c r="E90" s="14">
        <v>44749</v>
      </c>
      <c r="F90" s="14">
        <v>44750</v>
      </c>
      <c r="G90" s="14">
        <v>44751</v>
      </c>
      <c r="H90" s="14">
        <v>44752</v>
      </c>
    </row>
    <row r="91" spans="1:8" hidden="1" x14ac:dyDescent="0.25">
      <c r="A91" s="16"/>
      <c r="B91" s="21"/>
      <c r="C91" s="21"/>
      <c r="D91" s="21"/>
      <c r="E91" s="21"/>
      <c r="F91" s="21"/>
      <c r="G91" s="21"/>
      <c r="H91" s="21"/>
    </row>
    <row r="92" spans="1:8" hidden="1" x14ac:dyDescent="0.25">
      <c r="A92" s="22" t="str">
        <f>"JULIO3"</f>
        <v>JULIO3</v>
      </c>
      <c r="B92" s="8">
        <f t="array" ref="B92:H92">DaysAndWeeks+DATE(CalendarYear,7,1)-WEEKDAY(DATE(CalendarYear,7,1),(WeekStart="Lunes")+1)+15</f>
        <v>44753</v>
      </c>
      <c r="C92" s="8">
        <v>44754</v>
      </c>
      <c r="D92" s="8">
        <v>44755</v>
      </c>
      <c r="E92" s="8">
        <v>44756</v>
      </c>
      <c r="F92" s="8">
        <v>44757</v>
      </c>
      <c r="G92" s="8">
        <v>44758</v>
      </c>
      <c r="H92" s="8">
        <v>44759</v>
      </c>
    </row>
    <row r="93" spans="1:8" hidden="1" x14ac:dyDescent="0.25">
      <c r="A93" s="16"/>
      <c r="B93" s="16"/>
      <c r="C93" s="16"/>
      <c r="D93" s="16"/>
      <c r="E93" s="16"/>
      <c r="F93" s="16"/>
      <c r="G93" s="16"/>
      <c r="H93" s="16"/>
    </row>
    <row r="94" spans="1:8" hidden="1" x14ac:dyDescent="0.25">
      <c r="A94" s="22" t="str">
        <f>"JULIO4"</f>
        <v>JULIO4</v>
      </c>
      <c r="B94" s="14">
        <f t="array" ref="B94:H94">DaysAndWeeks+DATE(CalendarYear,7,1)-WEEKDAY(DATE(CalendarYear,7,1),(WeekStart="Lunes")+1)+22</f>
        <v>44760</v>
      </c>
      <c r="C94" s="14">
        <v>44761</v>
      </c>
      <c r="D94" s="14">
        <v>44762</v>
      </c>
      <c r="E94" s="14">
        <v>44763</v>
      </c>
      <c r="F94" s="14">
        <v>44764</v>
      </c>
      <c r="G94" s="14">
        <v>44765</v>
      </c>
      <c r="H94" s="14">
        <v>44766</v>
      </c>
    </row>
    <row r="95" spans="1:8" hidden="1" x14ac:dyDescent="0.25">
      <c r="A95" s="16"/>
      <c r="B95" s="21"/>
      <c r="C95" s="21"/>
      <c r="D95" s="21"/>
      <c r="E95" s="21"/>
      <c r="F95" s="21"/>
      <c r="G95" s="21"/>
      <c r="H95" s="21"/>
    </row>
    <row r="96" spans="1:8" hidden="1" x14ac:dyDescent="0.25">
      <c r="A96" s="22" t="str">
        <f>"JULIO5"</f>
        <v>JULIO5</v>
      </c>
      <c r="B96" s="8">
        <f t="array" ref="B96:H96">DaysAndWeeks+DATE(CalendarYear,7,1)-WEEKDAY(DATE(CalendarYear,7,1),(WeekStart="Lunes")+1)+29</f>
        <v>44767</v>
      </c>
      <c r="C96" s="8">
        <v>44768</v>
      </c>
      <c r="D96" s="8">
        <v>44769</v>
      </c>
      <c r="E96" s="8">
        <v>44770</v>
      </c>
      <c r="F96" s="8">
        <v>44771</v>
      </c>
      <c r="G96" s="8">
        <v>44772</v>
      </c>
      <c r="H96" s="8">
        <v>44773</v>
      </c>
    </row>
    <row r="97" spans="1:8" hidden="1" x14ac:dyDescent="0.25">
      <c r="A97" s="16"/>
      <c r="B97" s="16"/>
      <c r="C97" s="16"/>
      <c r="D97" s="16"/>
      <c r="E97" s="16"/>
      <c r="F97" s="16"/>
      <c r="G97" s="16"/>
      <c r="H97" s="16"/>
    </row>
    <row r="98" spans="1:8" hidden="1" x14ac:dyDescent="0.25">
      <c r="A98" s="22" t="str">
        <f>"JULIO6"</f>
        <v>JULIO6</v>
      </c>
      <c r="B98" s="14">
        <f t="array" ref="B98:C98">DaysAndWeeks+DATE(CalendarYear,7,1)-WEEKDAY(DATE(CalendarYear,7,1),(WeekStart="Lunes")+1)+36</f>
        <v>44774</v>
      </c>
      <c r="C98" s="14">
        <v>44775</v>
      </c>
      <c r="D98" s="90" t="s">
        <v>0</v>
      </c>
      <c r="E98" s="91"/>
      <c r="F98" s="91"/>
      <c r="G98" s="91"/>
      <c r="H98" s="91"/>
    </row>
    <row r="99" spans="1:8" hidden="1" x14ac:dyDescent="0.25">
      <c r="B99" s="21"/>
      <c r="C99" s="21"/>
      <c r="D99" s="90"/>
      <c r="E99" s="91"/>
      <c r="F99" s="91"/>
      <c r="G99" s="91"/>
      <c r="H99" s="91"/>
    </row>
    <row r="102" spans="1:8" hidden="1" x14ac:dyDescent="0.25">
      <c r="A102" s="22" t="str">
        <f>"AGOSTO1"</f>
        <v>AGOSTO1</v>
      </c>
      <c r="B102" s="8">
        <f t="array" ref="B102:H102">DaysAndWeeks+DATE(CalendarYear,8,1)-WEEKDAY(DATE(CalendarYear,8,1),(WeekStart="Lunes")+1)+1</f>
        <v>44774</v>
      </c>
      <c r="C102" s="8">
        <v>44775</v>
      </c>
      <c r="D102" s="8">
        <v>44776</v>
      </c>
      <c r="E102" s="8">
        <v>44777</v>
      </c>
      <c r="F102" s="8">
        <v>44778</v>
      </c>
      <c r="G102" s="8">
        <v>44779</v>
      </c>
      <c r="H102" s="8">
        <v>44780</v>
      </c>
    </row>
    <row r="103" spans="1:8" hidden="1" x14ac:dyDescent="0.25">
      <c r="A103" s="16"/>
      <c r="B103" s="16"/>
      <c r="C103" s="16"/>
      <c r="D103" s="16"/>
      <c r="E103" s="16"/>
      <c r="F103" s="16"/>
      <c r="G103" s="16"/>
      <c r="H103" s="16"/>
    </row>
    <row r="104" spans="1:8" hidden="1" x14ac:dyDescent="0.25">
      <c r="A104" s="22" t="str">
        <f>"AGOSTO2"</f>
        <v>AGOSTO2</v>
      </c>
      <c r="B104" s="14">
        <f t="array" ref="B104:H104">DaysAndWeeks+DATE(CalendarYear,8,1)-WEEKDAY(DATE(CalendarYear,8,1),(WeekStart="Lunes")+1)+8</f>
        <v>44781</v>
      </c>
      <c r="C104" s="14">
        <v>44782</v>
      </c>
      <c r="D104" s="14">
        <v>44783</v>
      </c>
      <c r="E104" s="14">
        <v>44784</v>
      </c>
      <c r="F104" s="14">
        <v>44785</v>
      </c>
      <c r="G104" s="14">
        <v>44786</v>
      </c>
      <c r="H104" s="14">
        <v>44787</v>
      </c>
    </row>
    <row r="105" spans="1:8" hidden="1" x14ac:dyDescent="0.25">
      <c r="A105" s="16"/>
      <c r="B105" s="21"/>
      <c r="C105" s="21"/>
      <c r="D105" s="21"/>
      <c r="E105" s="21"/>
      <c r="F105" s="21"/>
      <c r="G105" s="21"/>
      <c r="H105" s="21"/>
    </row>
    <row r="106" spans="1:8" hidden="1" x14ac:dyDescent="0.25">
      <c r="A106" s="22" t="str">
        <f>"AGOSTO3"</f>
        <v>AGOSTO3</v>
      </c>
      <c r="B106" s="8">
        <f t="array" ref="B106:H106">DaysAndWeeks+DATE(CalendarYear,8,1)-WEEKDAY(DATE(CalendarYear,8,1),(WeekStart="Lunes")+1)+15</f>
        <v>44788</v>
      </c>
      <c r="C106" s="8">
        <v>44789</v>
      </c>
      <c r="D106" s="8">
        <v>44790</v>
      </c>
      <c r="E106" s="8">
        <v>44791</v>
      </c>
      <c r="F106" s="8">
        <v>44792</v>
      </c>
      <c r="G106" s="8">
        <v>44793</v>
      </c>
      <c r="H106" s="8">
        <v>44794</v>
      </c>
    </row>
    <row r="107" spans="1:8" hidden="1" x14ac:dyDescent="0.25">
      <c r="A107" s="16"/>
      <c r="B107" s="16"/>
      <c r="C107" s="16"/>
      <c r="D107" s="16"/>
      <c r="E107" s="16"/>
      <c r="F107" s="16"/>
      <c r="G107" s="16"/>
      <c r="H107" s="16"/>
    </row>
    <row r="108" spans="1:8" hidden="1" x14ac:dyDescent="0.25">
      <c r="A108" s="22" t="str">
        <f>"AGOSTO4"</f>
        <v>AGOSTO4</v>
      </c>
      <c r="B108" s="14">
        <f t="array" ref="B108:H108">DaysAndWeeks+DATE(CalendarYear,8,1)-WEEKDAY(DATE(CalendarYear,8,1),(WeekStart="Lunes")+1)+22</f>
        <v>44795</v>
      </c>
      <c r="C108" s="14">
        <v>44796</v>
      </c>
      <c r="D108" s="14">
        <v>44797</v>
      </c>
      <c r="E108" s="14">
        <v>44798</v>
      </c>
      <c r="F108" s="14">
        <v>44799</v>
      </c>
      <c r="G108" s="14">
        <v>44800</v>
      </c>
      <c r="H108" s="14">
        <v>44801</v>
      </c>
    </row>
    <row r="109" spans="1:8" hidden="1" x14ac:dyDescent="0.25">
      <c r="A109" s="16"/>
      <c r="B109" s="21"/>
      <c r="C109" s="21"/>
      <c r="D109" s="21"/>
      <c r="E109" s="21"/>
      <c r="F109" s="21"/>
      <c r="G109" s="21"/>
      <c r="H109" s="21"/>
    </row>
    <row r="110" spans="1:8" hidden="1" x14ac:dyDescent="0.25">
      <c r="A110" s="22" t="str">
        <f>"AGOSTO5"</f>
        <v>AGOSTO5</v>
      </c>
      <c r="B110" s="8">
        <f t="array" ref="B110:H110">DaysAndWeeks+DATE(CalendarYear,8,1)-WEEKDAY(DATE(CalendarYear,8,1),(WeekStart="Lunes")+1)+29</f>
        <v>44802</v>
      </c>
      <c r="C110" s="8">
        <v>44803</v>
      </c>
      <c r="D110" s="8">
        <v>44804</v>
      </c>
      <c r="E110" s="8">
        <v>44805</v>
      </c>
      <c r="F110" s="8">
        <v>44806</v>
      </c>
      <c r="G110" s="8">
        <v>44807</v>
      </c>
      <c r="H110" s="8">
        <v>44808</v>
      </c>
    </row>
    <row r="111" spans="1:8" hidden="1" x14ac:dyDescent="0.25">
      <c r="A111" s="16"/>
      <c r="B111" s="16"/>
      <c r="C111" s="16"/>
      <c r="D111" s="16"/>
      <c r="E111" s="16"/>
      <c r="F111" s="16"/>
      <c r="G111" s="16"/>
      <c r="H111" s="16"/>
    </row>
    <row r="112" spans="1:8" hidden="1" x14ac:dyDescent="0.25">
      <c r="A112" s="22" t="str">
        <f>"AGOSTO6"</f>
        <v>AGOSTO6</v>
      </c>
      <c r="B112" s="14">
        <f t="array" ref="B112:C112">DaysAndWeeks+DATE(CalendarYear,8,1)-WEEKDAY(DATE(CalendarYear,8,1),(WeekStart="Lunes")+1)+36</f>
        <v>44809</v>
      </c>
      <c r="C112" s="14">
        <v>44810</v>
      </c>
      <c r="D112" s="90" t="s">
        <v>0</v>
      </c>
      <c r="E112" s="91"/>
      <c r="F112" s="91"/>
      <c r="G112" s="91"/>
      <c r="H112" s="91"/>
    </row>
    <row r="113" spans="1:8" hidden="1" x14ac:dyDescent="0.25">
      <c r="B113" s="21"/>
      <c r="C113" s="21"/>
      <c r="D113" s="90"/>
      <c r="E113" s="91"/>
      <c r="F113" s="91"/>
      <c r="G113" s="91"/>
      <c r="H113" s="91"/>
    </row>
    <row r="116" spans="1:8" hidden="1" x14ac:dyDescent="0.25">
      <c r="A116" s="22" t="str">
        <f>"SEPTIEMBRE1"</f>
        <v>SEPTIEMBRE1</v>
      </c>
      <c r="B116" s="8">
        <f t="array" ref="B116:H116">DaysAndWeeks+DATE(CalendarYear,9,1)-WEEKDAY(DATE(CalendarYear,9,1),(WeekStart="Lunes")+1)+1</f>
        <v>44802</v>
      </c>
      <c r="C116" s="8">
        <v>44803</v>
      </c>
      <c r="D116" s="8">
        <v>44804</v>
      </c>
      <c r="E116" s="8">
        <v>44805</v>
      </c>
      <c r="F116" s="8">
        <v>44806</v>
      </c>
      <c r="G116" s="8">
        <v>44807</v>
      </c>
      <c r="H116" s="8">
        <v>44808</v>
      </c>
    </row>
    <row r="117" spans="1:8" hidden="1" x14ac:dyDescent="0.25">
      <c r="A117" s="16"/>
      <c r="B117" s="16"/>
      <c r="C117" s="16"/>
      <c r="D117" s="16"/>
      <c r="E117" s="16"/>
      <c r="F117" s="16"/>
      <c r="G117" s="16"/>
      <c r="H117" s="16"/>
    </row>
    <row r="118" spans="1:8" hidden="1" x14ac:dyDescent="0.25">
      <c r="A118" s="22" t="str">
        <f>"SEPTIEMBRE2"</f>
        <v>SEPTIEMBRE2</v>
      </c>
      <c r="B118" s="14">
        <f t="array" ref="B118:H118">DaysAndWeeks+DATE(CalendarYear,9,1)-WEEKDAY(DATE(CalendarYear,9,1),(WeekStart="Lunes")+1)+8</f>
        <v>44809</v>
      </c>
      <c r="C118" s="14">
        <v>44810</v>
      </c>
      <c r="D118" s="14">
        <v>44811</v>
      </c>
      <c r="E118" s="14">
        <v>44812</v>
      </c>
      <c r="F118" s="14">
        <v>44813</v>
      </c>
      <c r="G118" s="14">
        <v>44814</v>
      </c>
      <c r="H118" s="14">
        <v>44815</v>
      </c>
    </row>
    <row r="119" spans="1:8" hidden="1" x14ac:dyDescent="0.25">
      <c r="A119" s="16"/>
      <c r="B119" s="21"/>
      <c r="C119" s="21"/>
      <c r="D119" s="21"/>
      <c r="E119" s="21"/>
      <c r="F119" s="21"/>
      <c r="G119" s="21"/>
      <c r="H119" s="21"/>
    </row>
    <row r="120" spans="1:8" hidden="1" x14ac:dyDescent="0.25">
      <c r="A120" s="22" t="str">
        <f>"SEPTIEMBRE3"</f>
        <v>SEPTIEMBRE3</v>
      </c>
      <c r="B120" s="8">
        <f t="array" ref="B120:H120">DaysAndWeeks+DATE(CalendarYear,9,1)-WEEKDAY(DATE(CalendarYear,9,1),(WeekStart="Lunes")+1)+15</f>
        <v>44816</v>
      </c>
      <c r="C120" s="8">
        <v>44817</v>
      </c>
      <c r="D120" s="8">
        <v>44818</v>
      </c>
      <c r="E120" s="8">
        <v>44819</v>
      </c>
      <c r="F120" s="8">
        <v>44820</v>
      </c>
      <c r="G120" s="8">
        <v>44821</v>
      </c>
      <c r="H120" s="8">
        <v>44822</v>
      </c>
    </row>
    <row r="121" spans="1:8" hidden="1" x14ac:dyDescent="0.25">
      <c r="A121" s="16"/>
      <c r="B121" s="16"/>
      <c r="C121" s="16"/>
      <c r="D121" s="16"/>
      <c r="E121" s="16"/>
      <c r="F121" s="16"/>
      <c r="G121" s="16"/>
      <c r="H121" s="16"/>
    </row>
    <row r="122" spans="1:8" hidden="1" x14ac:dyDescent="0.25">
      <c r="A122" s="22" t="str">
        <f>"SEPTIEMBRE4"</f>
        <v>SEPTIEMBRE4</v>
      </c>
      <c r="B122" s="14">
        <f t="array" ref="B122:H122">DaysAndWeeks+DATE(CalendarYear,9,1)-WEEKDAY(DATE(CalendarYear,9,1),(WeekStart="Lunes")+1)+22</f>
        <v>44823</v>
      </c>
      <c r="C122" s="14">
        <v>44824</v>
      </c>
      <c r="D122" s="14">
        <v>44825</v>
      </c>
      <c r="E122" s="14">
        <v>44826</v>
      </c>
      <c r="F122" s="14">
        <v>44827</v>
      </c>
      <c r="G122" s="14">
        <v>44828</v>
      </c>
      <c r="H122" s="14">
        <v>44829</v>
      </c>
    </row>
    <row r="123" spans="1:8" hidden="1" x14ac:dyDescent="0.25">
      <c r="A123" s="16"/>
      <c r="B123" s="21"/>
      <c r="C123" s="21"/>
      <c r="D123" s="21"/>
      <c r="E123" s="21"/>
      <c r="F123" s="21"/>
      <c r="G123" s="21"/>
      <c r="H123" s="21"/>
    </row>
    <row r="124" spans="1:8" hidden="1" x14ac:dyDescent="0.25">
      <c r="A124" s="22" t="str">
        <f>"SEPTIEMBRE5"</f>
        <v>SEPTIEMBRE5</v>
      </c>
      <c r="B124" s="8">
        <f t="array" ref="B124:H124">DaysAndWeeks+DATE(CalendarYear,9,1)-WEEKDAY(DATE(CalendarYear,9,1),(WeekStart="Lunes")+1)+29</f>
        <v>44830</v>
      </c>
      <c r="C124" s="8">
        <v>44831</v>
      </c>
      <c r="D124" s="8">
        <v>44832</v>
      </c>
      <c r="E124" s="8">
        <v>44833</v>
      </c>
      <c r="F124" s="8">
        <v>44834</v>
      </c>
      <c r="G124" s="8">
        <v>44835</v>
      </c>
      <c r="H124" s="8">
        <v>44836</v>
      </c>
    </row>
    <row r="125" spans="1:8" hidden="1" x14ac:dyDescent="0.25">
      <c r="A125" s="16"/>
      <c r="B125" s="16"/>
      <c r="C125" s="16"/>
      <c r="D125" s="16"/>
      <c r="E125" s="16"/>
      <c r="F125" s="16"/>
      <c r="G125" s="16"/>
      <c r="H125" s="16"/>
    </row>
    <row r="126" spans="1:8" hidden="1" x14ac:dyDescent="0.25">
      <c r="A126" s="22" t="str">
        <f>"SEPTIEMBRE6"</f>
        <v>SEPTIEMBRE6</v>
      </c>
      <c r="B126" s="14">
        <f t="array" ref="B126:C126">DaysAndWeeks+DATE(CalendarYear,9,1)-WEEKDAY(DATE(CalendarYear,9,1),(WeekStart="Lunes")+1)+36</f>
        <v>44837</v>
      </c>
      <c r="C126" s="14">
        <v>44838</v>
      </c>
      <c r="D126" s="90" t="s">
        <v>0</v>
      </c>
      <c r="E126" s="91"/>
      <c r="F126" s="91"/>
      <c r="G126" s="91"/>
      <c r="H126" s="91"/>
    </row>
    <row r="127" spans="1:8" hidden="1" x14ac:dyDescent="0.25">
      <c r="B127" s="21"/>
      <c r="C127" s="21"/>
      <c r="D127" s="90"/>
      <c r="E127" s="91"/>
      <c r="F127" s="91"/>
      <c r="G127" s="91"/>
      <c r="H127" s="91"/>
    </row>
    <row r="130" spans="1:8" hidden="1" x14ac:dyDescent="0.25">
      <c r="A130" s="22" t="str">
        <f>"OCTUBRE1"</f>
        <v>OCTUBRE1</v>
      </c>
      <c r="B130" s="8">
        <f t="array" ref="B130:H130">DaysAndWeeks+DATE(CalendarYear,10,1)-WEEKDAY(DATE(CalendarYear,10,1),(WeekStart="Lunes")+1)+1</f>
        <v>44830</v>
      </c>
      <c r="C130" s="8">
        <v>44831</v>
      </c>
      <c r="D130" s="8">
        <v>44832</v>
      </c>
      <c r="E130" s="8">
        <v>44833</v>
      </c>
      <c r="F130" s="8">
        <v>44834</v>
      </c>
      <c r="G130" s="8">
        <v>44835</v>
      </c>
      <c r="H130" s="8">
        <v>44836</v>
      </c>
    </row>
    <row r="131" spans="1:8" hidden="1" x14ac:dyDescent="0.25">
      <c r="A131" s="16"/>
      <c r="B131" s="16"/>
      <c r="C131" s="16"/>
      <c r="D131" s="16"/>
      <c r="E131" s="16"/>
      <c r="F131" s="16"/>
      <c r="G131" s="16"/>
      <c r="H131" s="16"/>
    </row>
    <row r="132" spans="1:8" hidden="1" x14ac:dyDescent="0.25">
      <c r="A132" s="22" t="str">
        <f>"OCTUBRE2"</f>
        <v>OCTUBRE2</v>
      </c>
      <c r="B132" s="14">
        <f t="array" ref="B132:H132">DaysAndWeeks+DATE(CalendarYear,10,1)-WEEKDAY(DATE(CalendarYear,10,1),(WeekStart="Lunes")+1)+8</f>
        <v>44837</v>
      </c>
      <c r="C132" s="14">
        <v>44838</v>
      </c>
      <c r="D132" s="14">
        <v>44839</v>
      </c>
      <c r="E132" s="14">
        <v>44840</v>
      </c>
      <c r="F132" s="14">
        <v>44841</v>
      </c>
      <c r="G132" s="14">
        <v>44842</v>
      </c>
      <c r="H132" s="14">
        <v>44843</v>
      </c>
    </row>
    <row r="133" spans="1:8" hidden="1" x14ac:dyDescent="0.25">
      <c r="A133" s="16"/>
      <c r="B133" s="21"/>
      <c r="C133" s="21"/>
      <c r="D133" s="21"/>
      <c r="E133" s="21"/>
      <c r="F133" s="21"/>
      <c r="G133" s="21"/>
      <c r="H133" s="21"/>
    </row>
    <row r="134" spans="1:8" hidden="1" x14ac:dyDescent="0.25">
      <c r="A134" s="22" t="str">
        <f>"OCTUBRE3"</f>
        <v>OCTUBRE3</v>
      </c>
      <c r="B134" s="8">
        <f t="array" ref="B134:H134">DaysAndWeeks+DATE(CalendarYear,10,1)-WEEKDAY(DATE(CalendarYear,10,1),(WeekStart="Lunes")+1)+15</f>
        <v>44844</v>
      </c>
      <c r="C134" s="8">
        <v>44845</v>
      </c>
      <c r="D134" s="8">
        <v>44846</v>
      </c>
      <c r="E134" s="8">
        <v>44847</v>
      </c>
      <c r="F134" s="8">
        <v>44848</v>
      </c>
      <c r="G134" s="8">
        <v>44849</v>
      </c>
      <c r="H134" s="8">
        <v>44850</v>
      </c>
    </row>
    <row r="135" spans="1:8" hidden="1" x14ac:dyDescent="0.25">
      <c r="A135" s="16"/>
      <c r="B135" s="16"/>
      <c r="C135" s="16"/>
      <c r="D135" s="16"/>
      <c r="E135" s="16"/>
      <c r="F135" s="16"/>
      <c r="G135" s="16"/>
      <c r="H135" s="16"/>
    </row>
    <row r="136" spans="1:8" hidden="1" x14ac:dyDescent="0.25">
      <c r="A136" s="22" t="str">
        <f>"OCTUBRE4"</f>
        <v>OCTUBRE4</v>
      </c>
      <c r="B136" s="14">
        <f t="array" ref="B136:H136">DaysAndWeeks+DATE(CalendarYear,10,1)-WEEKDAY(DATE(CalendarYear,10,1),(WeekStart="Lunes")+1)+22</f>
        <v>44851</v>
      </c>
      <c r="C136" s="14">
        <v>44852</v>
      </c>
      <c r="D136" s="14">
        <v>44853</v>
      </c>
      <c r="E136" s="14">
        <v>44854</v>
      </c>
      <c r="F136" s="14">
        <v>44855</v>
      </c>
      <c r="G136" s="14">
        <v>44856</v>
      </c>
      <c r="H136" s="14">
        <v>44857</v>
      </c>
    </row>
    <row r="137" spans="1:8" hidden="1" x14ac:dyDescent="0.25">
      <c r="A137" s="16"/>
      <c r="B137" s="21"/>
      <c r="C137" s="21"/>
      <c r="D137" s="21"/>
      <c r="E137" s="21"/>
      <c r="F137" s="21"/>
      <c r="G137" s="21"/>
      <c r="H137" s="21"/>
    </row>
    <row r="138" spans="1:8" hidden="1" x14ac:dyDescent="0.25">
      <c r="A138" s="22" t="str">
        <f>"OCTUBRE5"</f>
        <v>OCTUBRE5</v>
      </c>
      <c r="B138" s="8">
        <f t="array" ref="B138:H138">DaysAndWeeks+DATE(CalendarYear,10,1)-WEEKDAY(DATE(CalendarYear,10,1),(WeekStart="Lunes")+1)+29</f>
        <v>44858</v>
      </c>
      <c r="C138" s="8">
        <v>44859</v>
      </c>
      <c r="D138" s="8">
        <v>44860</v>
      </c>
      <c r="E138" s="8">
        <v>44861</v>
      </c>
      <c r="F138" s="8">
        <v>44862</v>
      </c>
      <c r="G138" s="8">
        <v>44863</v>
      </c>
      <c r="H138" s="8">
        <v>44864</v>
      </c>
    </row>
    <row r="139" spans="1:8" hidden="1" x14ac:dyDescent="0.25">
      <c r="A139" s="16"/>
      <c r="B139" s="16"/>
      <c r="C139" s="16"/>
      <c r="D139" s="16"/>
      <c r="E139" s="16"/>
      <c r="F139" s="16"/>
      <c r="G139" s="16"/>
      <c r="H139" s="16"/>
    </row>
    <row r="140" spans="1:8" hidden="1" x14ac:dyDescent="0.25">
      <c r="A140" s="22" t="str">
        <f>"OCTUBRE6"</f>
        <v>OCTUBRE6</v>
      </c>
      <c r="B140" s="14">
        <f t="array" ref="B140:C140">DaysAndWeeks+DATE(CalendarYear,10,1)-WEEKDAY(DATE(CalendarYear,10,1),(WeekStart="Lunes")+1)+36</f>
        <v>44865</v>
      </c>
      <c r="C140" s="14">
        <v>44866</v>
      </c>
      <c r="D140" s="90" t="s">
        <v>0</v>
      </c>
      <c r="E140" s="91"/>
      <c r="F140" s="91"/>
      <c r="G140" s="91"/>
      <c r="H140" s="91"/>
    </row>
    <row r="141" spans="1:8" hidden="1" x14ac:dyDescent="0.25">
      <c r="B141" s="21"/>
      <c r="C141" s="21"/>
      <c r="D141" s="90"/>
      <c r="E141" s="91"/>
      <c r="F141" s="91"/>
      <c r="G141" s="91"/>
      <c r="H141" s="91"/>
    </row>
    <row r="144" spans="1:8" hidden="1" x14ac:dyDescent="0.25">
      <c r="A144" s="22" t="str">
        <f>"NOVIEMBRE1"</f>
        <v>NOVIEMBRE1</v>
      </c>
      <c r="B144" s="8">
        <f t="array" ref="B144:H144">DaysAndWeeks+DATE(CalendarYear,11,1)-WEEKDAY(DATE(CalendarYear,11,1),(WeekStart="Lunes")+1)+1</f>
        <v>44865</v>
      </c>
      <c r="C144" s="8">
        <v>44866</v>
      </c>
      <c r="D144" s="8">
        <v>44867</v>
      </c>
      <c r="E144" s="8">
        <v>44868</v>
      </c>
      <c r="F144" s="8">
        <v>44869</v>
      </c>
      <c r="G144" s="8">
        <v>44870</v>
      </c>
      <c r="H144" s="8">
        <v>44871</v>
      </c>
    </row>
    <row r="145" spans="1:8" hidden="1" x14ac:dyDescent="0.25">
      <c r="A145" s="16"/>
      <c r="B145" s="16"/>
      <c r="C145" s="16"/>
      <c r="D145" s="16"/>
      <c r="E145" s="16"/>
      <c r="F145" s="16"/>
      <c r="G145" s="16"/>
      <c r="H145" s="16"/>
    </row>
    <row r="146" spans="1:8" hidden="1" x14ac:dyDescent="0.25">
      <c r="A146" s="22" t="str">
        <f>"NOVIEMBRE2"</f>
        <v>NOVIEMBRE2</v>
      </c>
      <c r="B146" s="14">
        <f t="array" ref="B146:H146">DaysAndWeeks+DATE(CalendarYear,11,1)-WEEKDAY(DATE(CalendarYear,11,1),(WeekStart="Lunes")+1)+8</f>
        <v>44872</v>
      </c>
      <c r="C146" s="14">
        <v>44873</v>
      </c>
      <c r="D146" s="14">
        <v>44874</v>
      </c>
      <c r="E146" s="14">
        <v>44875</v>
      </c>
      <c r="F146" s="14">
        <v>44876</v>
      </c>
      <c r="G146" s="14">
        <v>44877</v>
      </c>
      <c r="H146" s="14">
        <v>44878</v>
      </c>
    </row>
    <row r="147" spans="1:8" hidden="1" x14ac:dyDescent="0.25">
      <c r="A147" s="16"/>
      <c r="B147" s="21"/>
      <c r="C147" s="21"/>
      <c r="D147" s="21"/>
      <c r="E147" s="21"/>
      <c r="F147" s="21"/>
      <c r="G147" s="21"/>
      <c r="H147" s="21"/>
    </row>
    <row r="148" spans="1:8" hidden="1" x14ac:dyDescent="0.25">
      <c r="A148" s="22" t="str">
        <f>"NOVIEMBRE3"</f>
        <v>NOVIEMBRE3</v>
      </c>
      <c r="B148" s="8">
        <f t="array" ref="B148:H148">DaysAndWeeks+DATE(CalendarYear,11,1)-WEEKDAY(DATE(CalendarYear,11,1),(WeekStart="Lunes")+1)+15</f>
        <v>44879</v>
      </c>
      <c r="C148" s="8">
        <v>44880</v>
      </c>
      <c r="D148" s="8">
        <v>44881</v>
      </c>
      <c r="E148" s="8">
        <v>44882</v>
      </c>
      <c r="F148" s="8">
        <v>44883</v>
      </c>
      <c r="G148" s="8">
        <v>44884</v>
      </c>
      <c r="H148" s="8">
        <v>44885</v>
      </c>
    </row>
    <row r="149" spans="1:8" hidden="1" x14ac:dyDescent="0.25">
      <c r="A149" s="16"/>
      <c r="B149" s="16"/>
      <c r="C149" s="16"/>
      <c r="D149" s="16"/>
      <c r="E149" s="16"/>
      <c r="F149" s="16"/>
      <c r="G149" s="16"/>
      <c r="H149" s="16"/>
    </row>
    <row r="150" spans="1:8" hidden="1" x14ac:dyDescent="0.25">
      <c r="A150" s="22" t="str">
        <f>"NOVIEMBRE4"</f>
        <v>NOVIEMBRE4</v>
      </c>
      <c r="B150" s="14">
        <f t="array" ref="B150:H150">DaysAndWeeks+DATE(CalendarYear,11,1)-WEEKDAY(DATE(CalendarYear,11,1),(WeekStart="Lunes")+1)+22</f>
        <v>44886</v>
      </c>
      <c r="C150" s="14">
        <v>44887</v>
      </c>
      <c r="D150" s="14">
        <v>44888</v>
      </c>
      <c r="E150" s="14">
        <v>44889</v>
      </c>
      <c r="F150" s="14">
        <v>44890</v>
      </c>
      <c r="G150" s="14">
        <v>44891</v>
      </c>
      <c r="H150" s="14">
        <v>44892</v>
      </c>
    </row>
    <row r="151" spans="1:8" hidden="1" x14ac:dyDescent="0.25">
      <c r="A151" s="16"/>
      <c r="B151" s="21"/>
      <c r="C151" s="21"/>
      <c r="D151" s="21"/>
      <c r="E151" s="21"/>
      <c r="F151" s="21"/>
      <c r="G151" s="21"/>
      <c r="H151" s="21"/>
    </row>
    <row r="152" spans="1:8" hidden="1" x14ac:dyDescent="0.25">
      <c r="A152" s="22" t="str">
        <f>"NOVIEMBRE5"</f>
        <v>NOVIEMBRE5</v>
      </c>
      <c r="B152" s="8">
        <f t="array" ref="B152:H152">DaysAndWeeks+DATE(CalendarYear,11,1)-WEEKDAY(DATE(CalendarYear,11,1),(WeekStart="Lunes")+1)+29</f>
        <v>44893</v>
      </c>
      <c r="C152" s="8">
        <v>44894</v>
      </c>
      <c r="D152" s="8">
        <v>44895</v>
      </c>
      <c r="E152" s="8">
        <v>44896</v>
      </c>
      <c r="F152" s="8">
        <v>44897</v>
      </c>
      <c r="G152" s="8">
        <v>44898</v>
      </c>
      <c r="H152" s="8">
        <v>44899</v>
      </c>
    </row>
    <row r="153" spans="1:8" hidden="1" x14ac:dyDescent="0.25">
      <c r="A153" s="16"/>
      <c r="B153" s="16"/>
      <c r="C153" s="16"/>
      <c r="D153" s="16"/>
      <c r="E153" s="16"/>
      <c r="F153" s="16"/>
      <c r="G153" s="16"/>
      <c r="H153" s="16"/>
    </row>
    <row r="154" spans="1:8" hidden="1" x14ac:dyDescent="0.25">
      <c r="A154" s="22" t="str">
        <f>"NOVIEMBRE6"</f>
        <v>NOVIEMBRE6</v>
      </c>
      <c r="B154" s="14">
        <f t="array" ref="B154:C154">DaysAndWeeks+DATE(CalendarYear,11,1)-WEEKDAY(DATE(CalendarYear,11,1),(WeekStart="Lunes")+1)+36</f>
        <v>44900</v>
      </c>
      <c r="C154" s="14">
        <v>44901</v>
      </c>
      <c r="D154" s="90" t="s">
        <v>0</v>
      </c>
      <c r="E154" s="91"/>
      <c r="F154" s="91"/>
      <c r="G154" s="91"/>
      <c r="H154" s="91"/>
    </row>
    <row r="155" spans="1:8" hidden="1" x14ac:dyDescent="0.25">
      <c r="B155" s="21"/>
      <c r="C155" s="21"/>
      <c r="D155" s="90"/>
      <c r="E155" s="91"/>
      <c r="F155" s="91"/>
      <c r="G155" s="91"/>
      <c r="H155" s="91"/>
    </row>
    <row r="158" spans="1:8" hidden="1" x14ac:dyDescent="0.25">
      <c r="A158" s="22" t="str">
        <f>"DICIEMBRE1"</f>
        <v>DICIEMBRE1</v>
      </c>
      <c r="B158" s="8">
        <f t="array" ref="B158:H158">DaysAndWeeks+DATE(CalendarYear,12,1)-WEEKDAY(DATE(CalendarYear,12,1),(WeekStart="Lunes")+1)+1</f>
        <v>44893</v>
      </c>
      <c r="C158" s="8">
        <v>44894</v>
      </c>
      <c r="D158" s="8">
        <v>44895</v>
      </c>
      <c r="E158" s="8">
        <v>44896</v>
      </c>
      <c r="F158" s="8">
        <v>44897</v>
      </c>
      <c r="G158" s="8">
        <v>44898</v>
      </c>
      <c r="H158" s="8">
        <v>44899</v>
      </c>
    </row>
    <row r="159" spans="1:8" hidden="1" x14ac:dyDescent="0.25">
      <c r="A159" s="16"/>
      <c r="B159" s="16"/>
      <c r="C159" s="16"/>
      <c r="D159" s="16"/>
      <c r="E159" s="16"/>
      <c r="F159" s="16"/>
      <c r="G159" s="16"/>
      <c r="H159" s="16"/>
    </row>
    <row r="160" spans="1:8" hidden="1" x14ac:dyDescent="0.25">
      <c r="A160" s="22" t="str">
        <f>"DICIEMBRE2"</f>
        <v>DICIEMBRE2</v>
      </c>
      <c r="B160" s="14">
        <f t="array" ref="B160:H160">DaysAndWeeks+DATE(CalendarYear,12,1)-WEEKDAY(DATE(CalendarYear,12,1),(WeekStart="Lunes")+1)+8</f>
        <v>44900</v>
      </c>
      <c r="C160" s="14">
        <v>44901</v>
      </c>
      <c r="D160" s="14">
        <v>44902</v>
      </c>
      <c r="E160" s="14">
        <v>44903</v>
      </c>
      <c r="F160" s="14">
        <v>44904</v>
      </c>
      <c r="G160" s="14">
        <v>44905</v>
      </c>
      <c r="H160" s="14">
        <v>44906</v>
      </c>
    </row>
    <row r="161" spans="1:8" hidden="1" x14ac:dyDescent="0.25">
      <c r="A161" s="16"/>
      <c r="B161" s="21"/>
      <c r="C161" s="21"/>
      <c r="D161" s="21"/>
      <c r="E161" s="21"/>
      <c r="F161" s="21"/>
      <c r="G161" s="21"/>
      <c r="H161" s="21"/>
    </row>
    <row r="162" spans="1:8" hidden="1" x14ac:dyDescent="0.25">
      <c r="A162" s="22" t="str">
        <f>"DICIEMBRE3"</f>
        <v>DICIEMBRE3</v>
      </c>
      <c r="B162" s="8">
        <f t="array" ref="B162:H162">DaysAndWeeks+DATE(CalendarYear,12,1)-WEEKDAY(DATE(CalendarYear,12,1),(WeekStart="Lunes")+1)+15</f>
        <v>44907</v>
      </c>
      <c r="C162" s="8">
        <v>44908</v>
      </c>
      <c r="D162" s="8">
        <v>44909</v>
      </c>
      <c r="E162" s="8">
        <v>44910</v>
      </c>
      <c r="F162" s="8">
        <v>44911</v>
      </c>
      <c r="G162" s="8">
        <v>44912</v>
      </c>
      <c r="H162" s="8">
        <v>44913</v>
      </c>
    </row>
    <row r="163" spans="1:8" hidden="1" x14ac:dyDescent="0.25">
      <c r="A163" s="16"/>
      <c r="B163" s="16"/>
      <c r="C163" s="16"/>
      <c r="D163" s="16"/>
      <c r="E163" s="16"/>
      <c r="F163" s="16"/>
      <c r="G163" s="16"/>
      <c r="H163" s="16"/>
    </row>
    <row r="164" spans="1:8" hidden="1" x14ac:dyDescent="0.25">
      <c r="A164" s="22" t="str">
        <f>"DICIEMBRE4"</f>
        <v>DICIEMBRE4</v>
      </c>
      <c r="B164" s="14">
        <f t="array" ref="B164:H164">DaysAndWeeks+DATE(CalendarYear,12,1)-WEEKDAY(DATE(CalendarYear,12,1),(WeekStart="Lunes")+1)+22</f>
        <v>44914</v>
      </c>
      <c r="C164" s="14">
        <v>44915</v>
      </c>
      <c r="D164" s="14">
        <v>44916</v>
      </c>
      <c r="E164" s="14">
        <v>44917</v>
      </c>
      <c r="F164" s="14">
        <v>44918</v>
      </c>
      <c r="G164" s="14">
        <v>44919</v>
      </c>
      <c r="H164" s="14">
        <v>44920</v>
      </c>
    </row>
    <row r="165" spans="1:8" hidden="1" x14ac:dyDescent="0.25">
      <c r="A165" s="16"/>
      <c r="B165" s="21"/>
      <c r="C165" s="21"/>
      <c r="D165" s="21"/>
      <c r="E165" s="21"/>
      <c r="F165" s="21"/>
      <c r="G165" s="21"/>
      <c r="H165" s="21"/>
    </row>
    <row r="166" spans="1:8" hidden="1" x14ac:dyDescent="0.25">
      <c r="A166" s="22" t="str">
        <f>"DICIEMBRE5"</f>
        <v>DICIEMBRE5</v>
      </c>
      <c r="B166" s="8">
        <f t="array" ref="B166:H166">DaysAndWeeks+DATE(CalendarYear,12,1)-WEEKDAY(DATE(CalendarYear,12,1),(WeekStart="Lunes")+1)+29</f>
        <v>44921</v>
      </c>
      <c r="C166" s="8">
        <v>44922</v>
      </c>
      <c r="D166" s="8">
        <v>44923</v>
      </c>
      <c r="E166" s="8">
        <v>44924</v>
      </c>
      <c r="F166" s="8">
        <v>44925</v>
      </c>
      <c r="G166" s="8">
        <v>44926</v>
      </c>
      <c r="H166" s="8">
        <v>44927</v>
      </c>
    </row>
    <row r="167" spans="1:8" hidden="1" x14ac:dyDescent="0.25">
      <c r="A167" s="16"/>
      <c r="B167" s="16"/>
      <c r="C167" s="16"/>
      <c r="D167" s="16"/>
      <c r="E167" s="16"/>
      <c r="F167" s="16"/>
      <c r="G167" s="16"/>
      <c r="H167" s="16"/>
    </row>
    <row r="168" spans="1:8" hidden="1" x14ac:dyDescent="0.25">
      <c r="A168" s="22" t="str">
        <f>"DICIEMBRE6"</f>
        <v>DICIEMBRE6</v>
      </c>
      <c r="B168" s="14">
        <f t="array" ref="B168:C168">DaysAndWeeks+DATE(CalendarYear,12,1)-WEEKDAY(DATE(CalendarYear,12,1),(WeekStart="Lunes")+1)+36</f>
        <v>44928</v>
      </c>
      <c r="C168" s="14">
        <v>44929</v>
      </c>
      <c r="D168" s="90" t="s">
        <v>0</v>
      </c>
      <c r="E168" s="91"/>
      <c r="F168" s="91"/>
      <c r="G168" s="91"/>
      <c r="H168" s="91"/>
    </row>
    <row r="169" spans="1:8" hidden="1" x14ac:dyDescent="0.25">
      <c r="B169" s="21"/>
      <c r="C169" s="21"/>
      <c r="D169" s="90"/>
      <c r="E169" s="91"/>
      <c r="F169" s="91"/>
      <c r="G169" s="91"/>
      <c r="H169" s="91"/>
    </row>
  </sheetData>
  <mergeCells count="24">
    <mergeCell ref="D56:D57"/>
    <mergeCell ref="E56:H57"/>
    <mergeCell ref="D70:D71"/>
    <mergeCell ref="E70:H71"/>
    <mergeCell ref="D13:D14"/>
    <mergeCell ref="E13:H14"/>
    <mergeCell ref="D28:D29"/>
    <mergeCell ref="E28:H29"/>
    <mergeCell ref="D42:D43"/>
    <mergeCell ref="E42:H43"/>
    <mergeCell ref="D84:D85"/>
    <mergeCell ref="E84:H85"/>
    <mergeCell ref="D98:D99"/>
    <mergeCell ref="E98:H99"/>
    <mergeCell ref="D112:D113"/>
    <mergeCell ref="E112:H113"/>
    <mergeCell ref="D168:D169"/>
    <mergeCell ref="E168:H169"/>
    <mergeCell ref="D126:D127"/>
    <mergeCell ref="E126:H127"/>
    <mergeCell ref="D140:D141"/>
    <mergeCell ref="E140:H141"/>
    <mergeCell ref="D154:D155"/>
    <mergeCell ref="E154:H155"/>
  </mergeCells>
  <phoneticPr fontId="3" type="noConversion"/>
  <conditionalFormatting sqref="B11:H11 B13:C13">
    <cfRule type="expression" dxfId="39" priority="46">
      <formula>AND(DAY(B11)&gt;=1,DAY(B11)&lt;=15)</formula>
    </cfRule>
  </conditionalFormatting>
  <conditionalFormatting sqref="B3:G3">
    <cfRule type="expression" dxfId="38" priority="45">
      <formula>DAY(B3)&gt;8</formula>
    </cfRule>
  </conditionalFormatting>
  <conditionalFormatting sqref="B26:H26 B28:C28">
    <cfRule type="expression" dxfId="37" priority="22">
      <formula>AND(DAY(B26)&gt;=1,DAY(B26)&lt;=15)</formula>
    </cfRule>
  </conditionalFormatting>
  <conditionalFormatting sqref="B18:G18">
    <cfRule type="expression" dxfId="36" priority="21">
      <formula>DAY(B18)&gt;8</formula>
    </cfRule>
  </conditionalFormatting>
  <conditionalFormatting sqref="B40:H40 B42:C42">
    <cfRule type="expression" dxfId="35" priority="20">
      <formula>AND(DAY(B40)&gt;=1,DAY(B40)&lt;=15)</formula>
    </cfRule>
  </conditionalFormatting>
  <conditionalFormatting sqref="B32:G32">
    <cfRule type="expression" dxfId="34" priority="19">
      <formula>DAY(B32)&gt;8</formula>
    </cfRule>
  </conditionalFormatting>
  <conditionalFormatting sqref="B54:H54 B56:C56">
    <cfRule type="expression" dxfId="33" priority="18">
      <formula>AND(DAY(B54)&gt;=1,DAY(B54)&lt;=15)</formula>
    </cfRule>
  </conditionalFormatting>
  <conditionalFormatting sqref="B46:G46">
    <cfRule type="expression" dxfId="32" priority="17">
      <formula>DAY(B46)&gt;8</formula>
    </cfRule>
  </conditionalFormatting>
  <conditionalFormatting sqref="B158:G158">
    <cfRule type="expression" dxfId="31" priority="1">
      <formula>DAY(B158)&gt;8</formula>
    </cfRule>
  </conditionalFormatting>
  <conditionalFormatting sqref="B68:H68 B70:C70">
    <cfRule type="expression" dxfId="30" priority="16">
      <formula>AND(DAY(B68)&gt;=1,DAY(B68)&lt;=15)</formula>
    </cfRule>
  </conditionalFormatting>
  <conditionalFormatting sqref="B60:G60">
    <cfRule type="expression" dxfId="29" priority="15">
      <formula>DAY(B60)&gt;8</formula>
    </cfRule>
  </conditionalFormatting>
  <conditionalFormatting sqref="B82:H82 B84:C84">
    <cfRule type="expression" dxfId="28" priority="14">
      <formula>AND(DAY(B82)&gt;=1,DAY(B82)&lt;=15)</formula>
    </cfRule>
  </conditionalFormatting>
  <conditionalFormatting sqref="B74:G74">
    <cfRule type="expression" dxfId="27" priority="13">
      <formula>DAY(B74)&gt;8</formula>
    </cfRule>
  </conditionalFormatting>
  <conditionalFormatting sqref="B96:H96 B98:C98">
    <cfRule type="expression" dxfId="26" priority="12">
      <formula>AND(DAY(B96)&gt;=1,DAY(B96)&lt;=15)</formula>
    </cfRule>
  </conditionalFormatting>
  <conditionalFormatting sqref="B88:G88">
    <cfRule type="expression" dxfId="25" priority="11">
      <formula>DAY(B88)&gt;8</formula>
    </cfRule>
  </conditionalFormatting>
  <conditionalFormatting sqref="B110:H110 B112:C112">
    <cfRule type="expression" dxfId="24" priority="10">
      <formula>AND(DAY(B110)&gt;=1,DAY(B110)&lt;=15)</formula>
    </cfRule>
  </conditionalFormatting>
  <conditionalFormatting sqref="B102:G102">
    <cfRule type="expression" dxfId="23" priority="9">
      <formula>DAY(B102)&gt;8</formula>
    </cfRule>
  </conditionalFormatting>
  <conditionalFormatting sqref="B124:H124 B126:C126">
    <cfRule type="expression" dxfId="22" priority="8">
      <formula>AND(DAY(B124)&gt;=1,DAY(B124)&lt;=15)</formula>
    </cfRule>
  </conditionalFormatting>
  <conditionalFormatting sqref="B116:G116">
    <cfRule type="expression" dxfId="21" priority="7">
      <formula>DAY(B116)&gt;8</formula>
    </cfRule>
  </conditionalFormatting>
  <conditionalFormatting sqref="B138:H138 B140:C140">
    <cfRule type="expression" dxfId="20" priority="6">
      <formula>AND(DAY(B138)&gt;=1,DAY(B138)&lt;=15)</formula>
    </cfRule>
  </conditionalFormatting>
  <conditionalFormatting sqref="B130:G130">
    <cfRule type="expression" dxfId="19" priority="5">
      <formula>DAY(B130)&gt;8</formula>
    </cfRule>
  </conditionalFormatting>
  <conditionalFormatting sqref="B152:H152 B154:C154">
    <cfRule type="expression" dxfId="18" priority="4">
      <formula>AND(DAY(B152)&gt;=1,DAY(B152)&lt;=15)</formula>
    </cfRule>
  </conditionalFormatting>
  <conditionalFormatting sqref="B144:G144">
    <cfRule type="expression" dxfId="17" priority="3">
      <formula>DAY(B144)&gt;8</formula>
    </cfRule>
  </conditionalFormatting>
  <conditionalFormatting sqref="B166:H166 B168:C168">
    <cfRule type="expression" dxfId="16" priority="2">
      <formula>AND(DAY(B166)&gt;=1,DAY(B166)&lt;=15)</formula>
    </cfRule>
  </conditionalFormatting>
  <dataValidations count="14">
    <dataValidation type="list" errorStyle="warning" allowBlank="1" showInputMessage="1" showErrorMessage="1" error="Seleccione un día de la lista. Seleccione CANCELAR y presione ALT+FLECHA ABAJO para elegir un día de la lista desplegable." prompt="Escriba el día de inicio de la semana en esta celda. Presione ALT+FLECHA ABAJO para abrir la lista desplegable y luego, ENTRAR para seleccionar el día de inicio de la semana." sqref="K3" xr:uid="{00000000-0002-0000-0000-000000000000}">
      <formula1>"DOMINGO,LUNES"</formula1>
    </dataValidation>
    <dataValidation allowBlank="1" showInputMessage="1" showErrorMessage="1" prompt="Cree calendarios personalizados de un mes en este libro. Personalice el año y el día de inicio de la semana de todos los meses con esta hoja de cálculo de enero. Cada mes se encuentra en una hoja de cálculo independiente." sqref="A1" xr:uid="{00000000-0002-0000-0000-000001000000}"/>
    <dataValidation allowBlank="1" showInputMessage="1" showErrorMessage="1" prompt="El año de esta celda se actualiza automáticamente. Seleccione otro año en la celda K2 para cambiar de año." sqref="C1:D1" xr:uid="{00000000-0002-0000-0000-000002000000}"/>
    <dataValidation allowBlank="1" showInputMessage="1" showErrorMessage="1" prompt="Escriba el año y seleccione el día de inicio del calendario en las celdas siguientes. Estas celdas de configuración del calendario no se imprimirán." sqref="J1" xr:uid="{00000000-0002-0000-0000-000003000000}"/>
    <dataValidation allowBlank="1" showInputMessage="1" showErrorMessage="1" prompt="Escriba el año en la celda a la derecha." sqref="J2" xr:uid="{00000000-0002-0000-0000-000004000000}"/>
    <dataValidation allowBlank="1" showInputMessage="1" showErrorMessage="1" prompt="Seleccione el día de inicio de la semana en la celda a la derecha." sqref="J3" xr:uid="{00000000-0002-0000-0000-000005000000}"/>
    <dataValidation allowBlank="1" showInputMessage="1" showErrorMessage="1" prompt="Escriba el año en esta celda." sqref="K2" xr:uid="{00000000-0002-0000-0000-000006000000}"/>
    <dataValidation allowBlank="1" showInputMessage="1" showErrorMessage="1" prompt="Esta fila contiene los nombres de los días laborables de este calendario. Esta celda contiene el día de inicio de la semana. Para cambiar el día de inicio, escriba un nuevo día laborable en la celda K3." sqref="B2" xr:uid="{00000000-0002-0000-0000-000007000000}"/>
    <dataValidation allowBlank="1" showInputMessage="1" showErrorMessage="1" prompt="Esta fila y las filas 5, 7, 9, 11 y 13 contienen días naturales de la semana. Si esta celda no contiene el número 1, se trata de un día del mes anterior. Escriba notas en la celda E13." sqref="B3 B18 B32 B46 B60 B74 B88 B102 B116 B130 B144 B158" xr:uid="{00000000-0002-0000-0000-000008000000}"/>
    <dataValidation allowBlank="1" showInputMessage="1" showErrorMessage="1" prompt="El año de esta celda se actualiza automáticamente según el año especificado en la celda K2. El calendario siguiente incluye fechas de los meses anterior y posterior con un sombreado de fuente más claro." sqref="B1" xr:uid="{00000000-0002-0000-0000-000009000000}"/>
    <dataValidation allowBlank="1" showInputMessage="1" showErrorMessage="1" prompt="El día laborable se determinará    _x000a_automáticamente." sqref="C2:H2" xr:uid="{00000000-0002-0000-0000-00000A000000}"/>
    <dataValidation allowBlank="1" showInputMessage="1" showErrorMessage="1" prompt="Las celdas de esta fila y las filas 6, 8, 10, 12 y 14 son para escribir notas diarias relacionadas con el día natural de la celda anterior." sqref="B4 B19 B33 B47 B61 B75 B89 B103 B117 B131 B145 B159" xr:uid="{00000000-0002-0000-0000-00000B000000}"/>
    <dataValidation allowBlank="1" showInputMessage="1" showErrorMessage="1" prompt="Escriba notas en esta celda." sqref="E13:H14 E28:H29 E42:H43 E56:H57 E70:H71 E84:H85 E98:H99 E112:H113 E126:H127 E140:H141 E154:H155 E168:H169" xr:uid="{00000000-0002-0000-0000-00000C000000}"/>
    <dataValidation allowBlank="1" showInputMessage="1" showErrorMessage="1" prompt="Escriba notas en la celda a la derecha." sqref="D13:D14 D28:D29 D42:D43 D56:D57 D70:D71 D84:D85 D98:D99 D112:D113 D126:D127 D140:D141 D154:D155 D168:D169" xr:uid="{00000000-0002-0000-0000-00000D000000}"/>
  </dataValidations>
  <printOptions horizontalCentered="1" verticalCentered="1"/>
  <pageMargins left="0.7" right="0.7" top="0.75" bottom="0.75" header="0.3" footer="0.3"/>
  <pageSetup paperSize="9" orientation="landscape" r:id="rId1"/>
  <headerFooter differentFirst="1" alignWithMargins="0">
    <oddFooter>Page &amp;P of &amp;N</oddFooter>
  </headerFooter>
  <customProperties>
    <customPr name="SheetChanged" r:id="rId2"/>
  </customProperties>
  <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E7BB0-0ADC-4C46-977B-2780BE19A2F2}">
  <sheetPr codeName="Hoja1">
    <tabColor theme="1" tint="4.9989318521683403E-2"/>
    <pageSetUpPr fitToPage="1"/>
  </sheetPr>
  <dimension ref="A1:M64"/>
  <sheetViews>
    <sheetView showGridLines="0" showRowColHeaders="0" zoomScale="70" zoomScaleNormal="70" workbookViewId="0">
      <selection activeCell="L2" sqref="L2"/>
    </sheetView>
  </sheetViews>
  <sheetFormatPr baseColWidth="10" defaultColWidth="8.75" defaultRowHeight="15" x14ac:dyDescent="0.25"/>
  <cols>
    <col min="1" max="1" width="2.625" style="23" customWidth="1"/>
    <col min="2" max="2" width="18.25" style="16" customWidth="1"/>
    <col min="3" max="8" width="17.625" style="16" customWidth="1"/>
    <col min="9" max="9" width="2.625" style="23" customWidth="1"/>
    <col min="10" max="10" width="8.75" style="16"/>
    <col min="11" max="11" width="9.125" style="16" bestFit="1" customWidth="1"/>
    <col min="12" max="16384" width="8.75" style="16"/>
  </cols>
  <sheetData>
    <row r="1" spans="1:13" ht="59.25" customHeight="1" x14ac:dyDescent="0.25">
      <c r="B1" s="92" t="s">
        <v>38</v>
      </c>
      <c r="C1" s="92"/>
      <c r="D1" s="54" t="s">
        <v>39</v>
      </c>
      <c r="E1" s="3"/>
      <c r="F1" s="3"/>
      <c r="G1" s="3"/>
      <c r="H1" s="4"/>
      <c r="J1" s="23" t="str">
        <f>B1</f>
        <v>REGISTRO</v>
      </c>
      <c r="K1" s="28">
        <f ca="1">TODAY()</f>
        <v>44700</v>
      </c>
    </row>
    <row r="2" spans="1:13" ht="21.75" customHeight="1" thickBot="1" x14ac:dyDescent="0.3">
      <c r="B2" s="53" t="str">
        <f>IF(WeekStart="DOMINGO", "DOMINGO","LUNES")</f>
        <v>LUNES</v>
      </c>
      <c r="C2" s="53" t="str">
        <f>UPPER(TEXT(MESES!C18,"dddd"))</f>
        <v>MARTES</v>
      </c>
      <c r="D2" s="53" t="str">
        <f>UPPER(TEXT(MESES!D18,"dddd"))</f>
        <v>MIÉRCOLES</v>
      </c>
      <c r="E2" s="53" t="str">
        <f>UPPER(TEXT(MESES!E18,"dddd"))</f>
        <v>JUEVES</v>
      </c>
      <c r="F2" s="53" t="str">
        <f>UPPER(TEXT(MESES!F18,"dddd"))</f>
        <v>VIERNES</v>
      </c>
      <c r="G2" s="53" t="str">
        <f>UPPER(TEXT(MESES!G18,"dddd"))</f>
        <v>SÁBADO</v>
      </c>
      <c r="H2" s="53" t="str">
        <f>UPPER(TEXT(MESES!H18,"dddd"))</f>
        <v>DOMINGO</v>
      </c>
    </row>
    <row r="3" spans="1:13" s="26" customFormat="1" ht="57.75" customHeight="1" x14ac:dyDescent="0.25">
      <c r="A3" s="25" t="str">
        <f>$B$1&amp;I3</f>
        <v>REGISTRO1</v>
      </c>
      <c r="B3" s="24" t="str">
        <f>IFERROR(VLOOKUP($A3,MESES!$A:$H,B$18,0),"")</f>
        <v/>
      </c>
      <c r="C3" s="24" t="str">
        <f>IFERROR(VLOOKUP($A3,MESES!$A:$H,C$18,0),"")</f>
        <v/>
      </c>
      <c r="D3" s="24" t="str">
        <f>IFERROR(VLOOKUP($A3,MESES!$A:$H,D$18,0),"")</f>
        <v/>
      </c>
      <c r="E3" s="24" t="str">
        <f>IFERROR(VLOOKUP($A3,MESES!$A:$H,E$18,0),"")</f>
        <v/>
      </c>
      <c r="F3" s="24" t="str">
        <f>IFERROR(VLOOKUP($A3,MESES!$A:$H,F$18,0),"")</f>
        <v/>
      </c>
      <c r="G3" s="24" t="str">
        <f>IFERROR(VLOOKUP($A3,MESES!$A:$H,G$18,0),"")</f>
        <v/>
      </c>
      <c r="H3" s="24" t="str">
        <f>IFERROR(VLOOKUP($A3,MESES!$A:$H,H$18,0),"")</f>
        <v/>
      </c>
      <c r="I3" s="25">
        <v>1</v>
      </c>
    </row>
    <row r="4" spans="1:13" s="26" customFormat="1" ht="19.5" customHeight="1" x14ac:dyDescent="0.25">
      <c r="A4" s="25"/>
      <c r="B4" s="27" t="str">
        <f>IF(COUNTIF(BD_CITA!$O:$O,CITAS!B3)=0,"",COUNTIF(BD_CITA!$O:$O,CITAS!B3)&amp;"    Citas")</f>
        <v>1048575    Citas</v>
      </c>
      <c r="C4" s="27" t="str">
        <f>IF(COUNTIF(BD_CITA!$O:$O,CITAS!C3)=0,"",COUNTIF(BD_CITA!$O:$O,CITAS!C3)&amp;"    Citas")</f>
        <v>1048575    Citas</v>
      </c>
      <c r="D4" s="27" t="str">
        <f>IF(COUNTIF(BD_CITA!$O:$O,CITAS!D3)=0,"",COUNTIF(BD_CITA!$O:$O,CITAS!D3)&amp;"    Citas")</f>
        <v>1048575    Citas</v>
      </c>
      <c r="E4" s="27" t="str">
        <f>IF(COUNTIF(BD_CITA!$O:$O,CITAS!E3)=0,"",COUNTIF(BD_CITA!$O:$O,CITAS!E3)&amp;"    Citas")</f>
        <v>1048575    Citas</v>
      </c>
      <c r="F4" s="27" t="str">
        <f>IF(COUNTIF(BD_CITA!$O:$O,CITAS!F3)=0,"",COUNTIF(BD_CITA!$O:$O,CITAS!F3)&amp;"    Citas")</f>
        <v>1048575    Citas</v>
      </c>
      <c r="G4" s="27" t="str">
        <f>IF(COUNTIF(BD_CITA!$O:$O,CITAS!G3)=0,"",COUNTIF(BD_CITA!$O:$O,CITAS!G3)&amp;"    Citas")</f>
        <v>1048575    Citas</v>
      </c>
      <c r="H4" s="27" t="str">
        <f>IF(COUNTIF(BD_CITA!$O:$O,CITAS!H3)=0,"",COUNTIF(BD_CITA!$O:$O,CITAS!H3)&amp;"    Citas")</f>
        <v>1048575    Citas</v>
      </c>
      <c r="I4" s="25"/>
    </row>
    <row r="5" spans="1:13" s="26" customFormat="1" ht="57.75" customHeight="1" x14ac:dyDescent="0.25">
      <c r="A5" s="25" t="str">
        <f>$B$1&amp;I5</f>
        <v>REGISTRO2</v>
      </c>
      <c r="B5" s="51" t="str">
        <f>IFERROR(VLOOKUP($A5,MESES!$A:$H,B$18,0),"")</f>
        <v/>
      </c>
      <c r="C5" s="51" t="str">
        <f>IFERROR(VLOOKUP($A5,MESES!$A:$H,C$18,0),"")</f>
        <v/>
      </c>
      <c r="D5" s="51" t="str">
        <f>IFERROR(VLOOKUP($A5,MESES!$A:$H,D$18,0),"")</f>
        <v/>
      </c>
      <c r="E5" s="51" t="str">
        <f>IFERROR(VLOOKUP($A5,MESES!$A:$H,E$18,0),"")</f>
        <v/>
      </c>
      <c r="F5" s="51" t="str">
        <f>IFERROR(VLOOKUP($A5,MESES!$A:$H,F$18,0),"")</f>
        <v/>
      </c>
      <c r="G5" s="51" t="str">
        <f>IFERROR(VLOOKUP($A5,MESES!$A:$H,G$18,0),"")</f>
        <v/>
      </c>
      <c r="H5" s="51" t="str">
        <f>IFERROR(VLOOKUP($A5,MESES!$A:$H,H$18,0),"")</f>
        <v/>
      </c>
      <c r="I5" s="25">
        <v>2</v>
      </c>
      <c r="M5"/>
    </row>
    <row r="6" spans="1:13" s="26" customFormat="1" ht="19.5" customHeight="1" x14ac:dyDescent="0.25">
      <c r="A6" s="25"/>
      <c r="B6" s="52" t="str">
        <f>IF(COUNTIF(BD_CITA!$O:$O,CITAS!B5)=0,"",COUNTIF(BD_CITA!$O:$O,CITAS!B5)&amp;"    Citas")</f>
        <v>1048575    Citas</v>
      </c>
      <c r="C6" s="52" t="str">
        <f>IF(COUNTIF(BD_CITA!$O:$O,CITAS!C5)=0,"",COUNTIF(BD_CITA!$O:$O,CITAS!C5)&amp;"    Citas")</f>
        <v>1048575    Citas</v>
      </c>
      <c r="D6" s="52" t="str">
        <f>IF(COUNTIF(BD_CITA!$O:$O,CITAS!D5)=0,"",COUNTIF(BD_CITA!$O:$O,CITAS!D5)&amp;"    Citas")</f>
        <v>1048575    Citas</v>
      </c>
      <c r="E6" s="52" t="str">
        <f>IF(COUNTIF(BD_CITA!$O:$O,CITAS!E5)=0,"",COUNTIF(BD_CITA!$O:$O,CITAS!E5)&amp;"    Citas")</f>
        <v>1048575    Citas</v>
      </c>
      <c r="F6" s="52" t="str">
        <f>IF(COUNTIF(BD_CITA!$O:$O,CITAS!F5)=0,"",COUNTIF(BD_CITA!$O:$O,CITAS!F5)&amp;"    Citas")</f>
        <v>1048575    Citas</v>
      </c>
      <c r="G6" s="52" t="str">
        <f>IF(COUNTIF(BD_CITA!$O:$O,CITAS!G5)=0,"",COUNTIF(BD_CITA!$O:$O,CITAS!G5)&amp;"    Citas")</f>
        <v>1048575    Citas</v>
      </c>
      <c r="H6" s="52" t="str">
        <f>IF(COUNTIF(BD_CITA!$O:$O,CITAS!H5)=0,"",COUNTIF(BD_CITA!$O:$O,CITAS!H5)&amp;"    Citas")</f>
        <v>1048575    Citas</v>
      </c>
      <c r="I6" s="25"/>
      <c r="J6"/>
    </row>
    <row r="7" spans="1:13" s="26" customFormat="1" ht="57.75" customHeight="1" x14ac:dyDescent="0.25">
      <c r="A7" s="25" t="str">
        <f>$B$1&amp;I7</f>
        <v>REGISTRO3</v>
      </c>
      <c r="B7" s="24" t="str">
        <f>IFERROR(VLOOKUP($A7,MESES!$A:$H,B$18,0),"")</f>
        <v/>
      </c>
      <c r="C7" s="24" t="str">
        <f>IFERROR(VLOOKUP($A7,MESES!$A:$H,C$18,0),"")</f>
        <v/>
      </c>
      <c r="D7" s="24" t="str">
        <f>IFERROR(VLOOKUP($A7,MESES!$A:$H,D$18,0),"")</f>
        <v/>
      </c>
      <c r="E7" s="24" t="str">
        <f>IFERROR(VLOOKUP($A7,MESES!$A:$H,E$18,0),"")</f>
        <v/>
      </c>
      <c r="F7" s="24" t="str">
        <f>IFERROR(VLOOKUP($A7,MESES!$A:$H,F$18,0),"")</f>
        <v/>
      </c>
      <c r="G7" s="24" t="str">
        <f>IFERROR(VLOOKUP($A7,MESES!$A:$H,G$18,0),"")</f>
        <v/>
      </c>
      <c r="H7" s="24" t="str">
        <f>IFERROR(VLOOKUP($A7,MESES!$A:$H,H$18,0),"")</f>
        <v/>
      </c>
      <c r="I7" s="25">
        <v>3</v>
      </c>
    </row>
    <row r="8" spans="1:13" s="26" customFormat="1" ht="19.5" customHeight="1" x14ac:dyDescent="0.25">
      <c r="A8" s="25"/>
      <c r="B8" s="27" t="str">
        <f>IF(COUNTIF(BD_CITA!$O:$O,CITAS!B7)=0,"",COUNTIF(BD_CITA!$O:$O,CITAS!B7)&amp;"    Citas")</f>
        <v>1048575    Citas</v>
      </c>
      <c r="C8" s="27" t="str">
        <f>IF(COUNTIF(BD_CITA!$O:$O,CITAS!C7)=0,"",COUNTIF(BD_CITA!$O:$O,CITAS!C7)&amp;"    Citas")</f>
        <v>1048575    Citas</v>
      </c>
      <c r="D8" s="27" t="str">
        <f>IF(COUNTIF(BD_CITA!$O:$O,CITAS!D7)=0,"",COUNTIF(BD_CITA!$O:$O,CITAS!D7)&amp;"    Citas")</f>
        <v>1048575    Citas</v>
      </c>
      <c r="E8" s="27" t="str">
        <f>IF(COUNTIF(BD_CITA!$O:$O,CITAS!E7)=0,"",COUNTIF(BD_CITA!$O:$O,CITAS!E7)&amp;"    Citas")</f>
        <v>1048575    Citas</v>
      </c>
      <c r="F8" s="27" t="str">
        <f>IF(COUNTIF(BD_CITA!$O:$O,CITAS!F7)=0,"",COUNTIF(BD_CITA!$O:$O,CITAS!F7)&amp;"    Citas")</f>
        <v>1048575    Citas</v>
      </c>
      <c r="G8" s="27" t="str">
        <f>IF(COUNTIF(BD_CITA!$O:$O,CITAS!G7)=0,"",COUNTIF(BD_CITA!$O:$O,CITAS!G7)&amp;"    Citas")</f>
        <v>1048575    Citas</v>
      </c>
      <c r="H8" s="27" t="str">
        <f>IF(COUNTIF(BD_CITA!$O:$O,CITAS!H7)=0,"",COUNTIF(BD_CITA!$O:$O,CITAS!H7)&amp;"    Citas")</f>
        <v>1048575    Citas</v>
      </c>
      <c r="I8" s="25"/>
    </row>
    <row r="9" spans="1:13" s="26" customFormat="1" ht="57.75" customHeight="1" x14ac:dyDescent="0.25">
      <c r="A9" s="25" t="str">
        <f>$B$1&amp;I9</f>
        <v>REGISTRO4</v>
      </c>
      <c r="B9" s="51" t="str">
        <f>IFERROR(VLOOKUP($A9,MESES!$A:$H,B$18,0),"")</f>
        <v/>
      </c>
      <c r="C9" s="51" t="str">
        <f>IFERROR(VLOOKUP($A9,MESES!$A:$H,C$18,0),"")</f>
        <v/>
      </c>
      <c r="D9" s="51" t="str">
        <f>IFERROR(VLOOKUP($A9,MESES!$A:$H,D$18,0),"")</f>
        <v/>
      </c>
      <c r="E9" s="51" t="str">
        <f>IFERROR(VLOOKUP($A9,MESES!$A:$H,E$18,0),"")</f>
        <v/>
      </c>
      <c r="F9" s="51" t="str">
        <f>IFERROR(VLOOKUP($A9,MESES!$A:$H,F$18,0),"")</f>
        <v/>
      </c>
      <c r="G9" s="51" t="str">
        <f>IFERROR(VLOOKUP($A9,MESES!$A:$H,G$18,0),"")</f>
        <v/>
      </c>
      <c r="H9" s="51" t="str">
        <f>IFERROR(VLOOKUP($A9,MESES!$A:$H,H$18,0),"")</f>
        <v/>
      </c>
      <c r="I9" s="25">
        <v>4</v>
      </c>
    </row>
    <row r="10" spans="1:13" s="26" customFormat="1" ht="19.5" customHeight="1" x14ac:dyDescent="0.25">
      <c r="A10" s="25"/>
      <c r="B10" s="52" t="str">
        <f>IF(COUNTIF(BD_CITA!$O:$O,CITAS!B9)=0,"",COUNTIF(BD_CITA!$O:$O,CITAS!B9)&amp;"    Citas")</f>
        <v>1048575    Citas</v>
      </c>
      <c r="C10" s="52" t="str">
        <f>IF(COUNTIF(BD_CITA!$O:$O,CITAS!C9)=0,"",COUNTIF(BD_CITA!$O:$O,CITAS!C9)&amp;"    Citas")</f>
        <v>1048575    Citas</v>
      </c>
      <c r="D10" s="52" t="str">
        <f>IF(COUNTIF(BD_CITA!$O:$O,CITAS!D9)=0,"",COUNTIF(BD_CITA!$O:$O,CITAS!D9)&amp;"    Citas")</f>
        <v>1048575    Citas</v>
      </c>
      <c r="E10" s="52" t="str">
        <f>IF(COUNTIF(BD_CITA!$O:$O,CITAS!E9)=0,"",COUNTIF(BD_CITA!$O:$O,CITAS!E9)&amp;"    Citas")</f>
        <v>1048575    Citas</v>
      </c>
      <c r="F10" s="52" t="str">
        <f>IF(COUNTIF(BD_CITA!$O:$O,CITAS!F9)=0,"",COUNTIF(BD_CITA!$O:$O,CITAS!F9)&amp;"    Citas")</f>
        <v>1048575    Citas</v>
      </c>
      <c r="G10" s="52" t="str">
        <f>IF(COUNTIF(BD_CITA!$O:$O,CITAS!G9)=0,"",COUNTIF(BD_CITA!$O:$O,CITAS!G9)&amp;"    Citas")</f>
        <v>1048575    Citas</v>
      </c>
      <c r="H10" s="52" t="str">
        <f>IF(COUNTIF(BD_CITA!$O:$O,CITAS!H9)=0,"",COUNTIF(BD_CITA!$O:$O,CITAS!H9)&amp;"    Citas")</f>
        <v>1048575    Citas</v>
      </c>
      <c r="I10" s="25"/>
    </row>
    <row r="11" spans="1:13" s="26" customFormat="1" ht="57.75" customHeight="1" x14ac:dyDescent="0.25">
      <c r="A11" s="25" t="str">
        <f>$B$1&amp;I11</f>
        <v>REGISTRO5</v>
      </c>
      <c r="B11" s="24" t="str">
        <f>IFERROR(VLOOKUP($A11,MESES!$A:$H,B$18,0),"")</f>
        <v/>
      </c>
      <c r="C11" s="24" t="str">
        <f>IFERROR(VLOOKUP($A11,MESES!$A:$H,C$18,0),"")</f>
        <v/>
      </c>
      <c r="D11" s="24" t="str">
        <f>IFERROR(VLOOKUP($A11,MESES!$A:$H,D$18,0),"")</f>
        <v/>
      </c>
      <c r="E11" s="24" t="str">
        <f>IFERROR(VLOOKUP($A11,MESES!$A:$H,E$18,0),"")</f>
        <v/>
      </c>
      <c r="F11" s="24" t="str">
        <f>IFERROR(VLOOKUP($A11,MESES!$A:$H,F$18,0),"")</f>
        <v/>
      </c>
      <c r="G11" s="24" t="str">
        <f>IFERROR(VLOOKUP($A11,MESES!$A:$H,G$18,0),"")</f>
        <v/>
      </c>
      <c r="H11" s="24" t="str">
        <f>IFERROR(VLOOKUP($A11,MESES!$A:$H,H$18,0),"")</f>
        <v/>
      </c>
      <c r="I11" s="25">
        <v>5</v>
      </c>
    </row>
    <row r="12" spans="1:13" s="26" customFormat="1" ht="19.5" customHeight="1" x14ac:dyDescent="0.25">
      <c r="A12" s="25"/>
      <c r="B12" s="27" t="str">
        <f>IF(COUNTIF(BD_CITA!$O:$O,CITAS!B11)=0,"",COUNTIF(BD_CITA!$O:$O,CITAS!B11)&amp;"    Citas")</f>
        <v>1048575    Citas</v>
      </c>
      <c r="C12" s="27" t="str">
        <f>IF(COUNTIF(BD_CITA!$O:$O,CITAS!C11)=0,"",COUNTIF(BD_CITA!$O:$O,CITAS!C11)&amp;"    Citas")</f>
        <v>1048575    Citas</v>
      </c>
      <c r="D12" s="27" t="str">
        <f>IF(COUNTIF(BD_CITA!$O:$O,CITAS!D11)=0,"",COUNTIF(BD_CITA!$O:$O,CITAS!D11)&amp;"    Citas")</f>
        <v>1048575    Citas</v>
      </c>
      <c r="E12" s="27" t="str">
        <f>IF(COUNTIF(BD_CITA!$O:$O,CITAS!E11)=0,"",COUNTIF(BD_CITA!$O:$O,CITAS!E11)&amp;"    Citas")</f>
        <v>1048575    Citas</v>
      </c>
      <c r="F12" s="27" t="str">
        <f>IF(COUNTIF(BD_CITA!$O:$O,CITAS!F11)=0,"",COUNTIF(BD_CITA!$O:$O,CITAS!F11)&amp;"    Citas")</f>
        <v>1048575    Citas</v>
      </c>
      <c r="G12" s="27" t="str">
        <f>IF(COUNTIF(BD_CITA!$O:$O,CITAS!G11)=0,"",COUNTIF(BD_CITA!$O:$O,CITAS!G11)&amp;"    Citas")</f>
        <v>1048575    Citas</v>
      </c>
      <c r="H12" s="27" t="str">
        <f>IF(COUNTIF(BD_CITA!$O:$O,CITAS!H11)=0,"",COUNTIF(BD_CITA!$O:$O,CITAS!H11)&amp;"    Citas")</f>
        <v>1048575    Citas</v>
      </c>
      <c r="I12" s="25"/>
    </row>
    <row r="13" spans="1:13" s="26" customFormat="1" ht="57.75" customHeight="1" x14ac:dyDescent="0.25">
      <c r="A13" s="25" t="str">
        <f>$B$1&amp;I13</f>
        <v>REGISTRO6</v>
      </c>
      <c r="B13" s="51" t="str">
        <f>IFERROR(VLOOKUP($A13,MESES!$A:$H,B$18,0),"")</f>
        <v/>
      </c>
      <c r="C13" s="51" t="str">
        <f>IFERROR(VLOOKUP($A13,MESES!$A:$H,C$18,0),"")</f>
        <v/>
      </c>
      <c r="D13" s="51"/>
      <c r="E13" s="51"/>
      <c r="F13" s="51"/>
      <c r="G13" s="51"/>
      <c r="H13" s="51"/>
      <c r="I13" s="25">
        <v>6</v>
      </c>
    </row>
    <row r="14" spans="1:13" s="26" customFormat="1" ht="19.5" customHeight="1" x14ac:dyDescent="0.25">
      <c r="A14" s="25"/>
      <c r="B14" s="52" t="str">
        <f>IF(COUNTIF(BD_CITA!$O:$O,CITAS!B13)=0,"",COUNTIF(BD_CITA!$O:$O,CITAS!B13)&amp;"    Citas")</f>
        <v>1048575    Citas</v>
      </c>
      <c r="C14" s="52" t="str">
        <f>IF(COUNTIF(BD_CITA!$O:$O,CITAS!C13)=0,"",COUNTIF(BD_CITA!$O:$O,CITAS!C13)&amp;"    Citas")</f>
        <v>1048575    Citas</v>
      </c>
      <c r="D14" s="52"/>
      <c r="E14" s="52"/>
      <c r="F14" s="52"/>
      <c r="G14" s="52"/>
      <c r="H14" s="52"/>
      <c r="I14" s="25"/>
    </row>
    <row r="18" spans="2:8" s="23" customFormat="1" x14ac:dyDescent="0.25">
      <c r="B18" s="23">
        <v>2</v>
      </c>
      <c r="C18" s="23">
        <v>3</v>
      </c>
      <c r="D18" s="23">
        <v>4</v>
      </c>
      <c r="E18" s="23">
        <v>5</v>
      </c>
      <c r="F18" s="23">
        <v>6</v>
      </c>
      <c r="G18" s="23">
        <v>7</v>
      </c>
      <c r="H18" s="23">
        <v>8</v>
      </c>
    </row>
    <row r="53" spans="3:4" x14ac:dyDescent="0.25">
      <c r="C53" s="16" t="s">
        <v>6</v>
      </c>
      <c r="D53" s="16">
        <v>1</v>
      </c>
    </row>
    <row r="54" spans="3:4" x14ac:dyDescent="0.25">
      <c r="C54" s="16" t="s">
        <v>5</v>
      </c>
      <c r="D54" s="16">
        <v>2</v>
      </c>
    </row>
    <row r="55" spans="3:4" x14ac:dyDescent="0.25">
      <c r="C55" s="16" t="s">
        <v>7</v>
      </c>
      <c r="D55" s="16">
        <v>3</v>
      </c>
    </row>
    <row r="56" spans="3:4" x14ac:dyDescent="0.25">
      <c r="C56" s="16" t="s">
        <v>8</v>
      </c>
      <c r="D56" s="16">
        <v>4</v>
      </c>
    </row>
    <row r="57" spans="3:4" x14ac:dyDescent="0.25">
      <c r="C57" s="16" t="s">
        <v>9</v>
      </c>
      <c r="D57" s="16">
        <v>5</v>
      </c>
    </row>
    <row r="58" spans="3:4" x14ac:dyDescent="0.25">
      <c r="C58" s="16" t="s">
        <v>10</v>
      </c>
      <c r="D58" s="16">
        <v>6</v>
      </c>
    </row>
    <row r="59" spans="3:4" x14ac:dyDescent="0.25">
      <c r="C59" s="16" t="s">
        <v>11</v>
      </c>
      <c r="D59" s="16">
        <v>7</v>
      </c>
    </row>
    <row r="60" spans="3:4" x14ac:dyDescent="0.25">
      <c r="C60" s="16" t="s">
        <v>12</v>
      </c>
      <c r="D60" s="16">
        <v>8</v>
      </c>
    </row>
    <row r="61" spans="3:4" x14ac:dyDescent="0.25">
      <c r="C61" s="16" t="s">
        <v>13</v>
      </c>
      <c r="D61" s="16">
        <v>9</v>
      </c>
    </row>
    <row r="62" spans="3:4" x14ac:dyDescent="0.25">
      <c r="C62" s="16" t="s">
        <v>14</v>
      </c>
      <c r="D62" s="16">
        <v>10</v>
      </c>
    </row>
    <row r="63" spans="3:4" x14ac:dyDescent="0.25">
      <c r="C63" s="16" t="s">
        <v>15</v>
      </c>
      <c r="D63" s="16">
        <v>11</v>
      </c>
    </row>
    <row r="64" spans="3:4" x14ac:dyDescent="0.25">
      <c r="C64" s="16" t="s">
        <v>16</v>
      </c>
      <c r="D64" s="16">
        <v>12</v>
      </c>
    </row>
  </sheetData>
  <mergeCells count="1">
    <mergeCell ref="B1:C1"/>
  </mergeCells>
  <conditionalFormatting sqref="B3 D3:G3">
    <cfRule type="expression" dxfId="15" priority="18">
      <formula>DAY(B3)&gt;8</formula>
    </cfRule>
  </conditionalFormatting>
  <conditionalFormatting sqref="B11 B13">
    <cfRule type="expression" dxfId="14" priority="19">
      <formula>AND(DAY(B11)&gt;=1,DAY(B11)&lt;=15)</formula>
    </cfRule>
  </conditionalFormatting>
  <conditionalFormatting sqref="B3:H4">
    <cfRule type="expression" dxfId="13" priority="15">
      <formula>$K$1=B$3</formula>
    </cfRule>
  </conditionalFormatting>
  <conditionalFormatting sqref="B5:B6">
    <cfRule type="expression" dxfId="12" priority="14">
      <formula>$K$1=B$5</formula>
    </cfRule>
  </conditionalFormatting>
  <conditionalFormatting sqref="C5:H6">
    <cfRule type="expression" dxfId="11" priority="13">
      <formula>$K$1=C$5</formula>
    </cfRule>
  </conditionalFormatting>
  <conditionalFormatting sqref="B7:B8">
    <cfRule type="expression" dxfId="10" priority="12">
      <formula>$K$1=B$7</formula>
    </cfRule>
  </conditionalFormatting>
  <conditionalFormatting sqref="C7:H8">
    <cfRule type="expression" dxfId="9" priority="11">
      <formula>$K$1=C$7</formula>
    </cfRule>
  </conditionalFormatting>
  <conditionalFormatting sqref="B9:B10">
    <cfRule type="expression" dxfId="8" priority="10">
      <formula>$K$1=B$9</formula>
    </cfRule>
  </conditionalFormatting>
  <conditionalFormatting sqref="C9:H10">
    <cfRule type="expression" dxfId="7" priority="9">
      <formula>$K$1=C$9</formula>
    </cfRule>
  </conditionalFormatting>
  <conditionalFormatting sqref="B11:B12">
    <cfRule type="expression" dxfId="6" priority="8">
      <formula>$K$1=B$11</formula>
    </cfRule>
  </conditionalFormatting>
  <conditionalFormatting sqref="B13:B14">
    <cfRule type="expression" dxfId="5" priority="5">
      <formula>$K$1=B$13</formula>
    </cfRule>
  </conditionalFormatting>
  <conditionalFormatting sqref="C13:H13">
    <cfRule type="expression" dxfId="4" priority="4">
      <formula>AND(DAY(C13)&gt;=1,DAY(C13)&lt;=15)</formula>
    </cfRule>
  </conditionalFormatting>
  <conditionalFormatting sqref="C13:H14">
    <cfRule type="expression" dxfId="3" priority="3">
      <formula>$K$1=C$13</formula>
    </cfRule>
  </conditionalFormatting>
  <conditionalFormatting sqref="C11:H11">
    <cfRule type="expression" dxfId="2" priority="2">
      <formula>AND(DAY(C11)&gt;=1,DAY(C11)&lt;=15)</formula>
    </cfRule>
  </conditionalFormatting>
  <conditionalFormatting sqref="C11:H12">
    <cfRule type="expression" dxfId="1" priority="1">
      <formula>$K$1=C$11</formula>
    </cfRule>
  </conditionalFormatting>
  <dataValidations xWindow="67" yWindow="567" count="4">
    <dataValidation allowBlank="1" prompt="Esta fila contiene los nombres de los días laborables de este calendario. Esta celda contiene el día de inicio de la semana. Para cambiar el día de inicio, escriba un nuevo día laborable en la celda K3 de la hoja de cálculo de enero." sqref="B2" xr:uid="{6CFAA81A-B3C8-41CC-9E2F-62B739EFCCBA}"/>
    <dataValidation allowBlank="1" showInputMessage="1" showErrorMessage="1" prompt="El día laborable se determinará    _x000a_automáticamente." sqref="C2:H2" xr:uid="{5B73A361-EF52-4CBB-9EBA-F6962CE5C2A1}"/>
    <dataValidation allowBlank="1" sqref="A1:A1048576 D13:H1048576 D1:H1 B3:H3 B5:H5 B7:H7 B9:H9 B13:C13 B15:C1048576 B11:H11 I1:I1048576 J7:J1048576 J1:J5 K1:L1048576 N1:XFD1048576 M1:M4 M6:M1048576" xr:uid="{2A2E3327-E65B-4A31-8879-3891A6B5C870}"/>
    <dataValidation type="list" allowBlank="1" sqref="B1" xr:uid="{5F395EC4-1EFB-4E14-8650-C8664FFF8270}">
      <formula1>MESES</formula1>
    </dataValidation>
  </dataValidations>
  <printOptions horizontalCentered="1" verticalCentered="1"/>
  <pageMargins left="0.7" right="0.7" top="0.75" bottom="0.75" header="0.3" footer="0.3"/>
  <pageSetup paperSize="9" scale="86" orientation="landscape" r:id="rId1"/>
  <headerFooter differentFirst="1">
    <oddFooter>Page &amp;P of &amp;N</oddFooter>
  </headerFooter>
  <ignoredErrors>
    <ignoredError sqref="B9:H9 B11:H11 B13:H13 D14:H14" formula="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A29D3-C93D-4447-8504-5308EFD30712}">
  <sheetPr codeName="Hoja4"/>
  <dimension ref="A1:AG30"/>
  <sheetViews>
    <sheetView showRowColHeaders="0" tabSelected="1" topLeftCell="F1" zoomScaleNormal="100" workbookViewId="0">
      <selection activeCell="C11" sqref="C11:E11"/>
    </sheetView>
  </sheetViews>
  <sheetFormatPr baseColWidth="10" defaultColWidth="11.5" defaultRowHeight="15" x14ac:dyDescent="0.25"/>
  <cols>
    <col min="1" max="1" width="11.5" style="31"/>
    <col min="2" max="2" width="13.5" style="31" bestFit="1" customWidth="1"/>
    <col min="3" max="10" width="11.5" style="31"/>
    <col min="11" max="11" width="0.875" style="31" customWidth="1"/>
    <col min="12" max="12" width="12.625" style="70" customWidth="1"/>
    <col min="13" max="13" width="12.5" style="69" customWidth="1"/>
    <col min="14" max="14" width="22.75" style="31" customWidth="1"/>
    <col min="15" max="16384" width="11.5" style="31"/>
  </cols>
  <sheetData>
    <row r="1" spans="1:33" x14ac:dyDescent="0.25">
      <c r="A1" s="93" t="s">
        <v>29</v>
      </c>
      <c r="B1" s="101" t="s">
        <v>17</v>
      </c>
      <c r="C1" s="101"/>
      <c r="D1" s="101"/>
      <c r="E1" s="101"/>
      <c r="F1" s="101"/>
      <c r="G1" s="44"/>
      <c r="I1" s="95" t="str">
        <f>CITAS!B1</f>
        <v>REGISTRO</v>
      </c>
      <c r="J1" s="95"/>
      <c r="K1" s="95"/>
      <c r="L1" s="95"/>
      <c r="M1" s="66" t="str">
        <f>IFERROR(VLOOKUP(I1,CITAS!C53:D64,2,0),"")</f>
        <v/>
      </c>
      <c r="N1" s="84">
        <f ca="1">DAY(TODAY())</f>
        <v>19</v>
      </c>
      <c r="O1" s="60"/>
      <c r="P1" s="60"/>
      <c r="Q1" s="64"/>
      <c r="R1" s="60" t="s">
        <v>19</v>
      </c>
      <c r="S1" s="60" t="s">
        <v>32</v>
      </c>
      <c r="T1" s="60" t="s">
        <v>33</v>
      </c>
      <c r="U1" s="60" t="s">
        <v>20</v>
      </c>
      <c r="V1" s="60" t="s">
        <v>34</v>
      </c>
      <c r="W1" s="60" t="s">
        <v>23</v>
      </c>
      <c r="X1" s="60" t="s">
        <v>25</v>
      </c>
      <c r="Y1" s="60" t="s">
        <v>24</v>
      </c>
      <c r="Z1" s="60" t="s">
        <v>27</v>
      </c>
      <c r="AA1" s="60" t="s">
        <v>31</v>
      </c>
      <c r="AB1" s="60"/>
      <c r="AC1" s="60"/>
      <c r="AD1" s="60"/>
      <c r="AE1" s="60"/>
      <c r="AF1" s="60"/>
      <c r="AG1" s="60"/>
    </row>
    <row r="2" spans="1:33" x14ac:dyDescent="0.25">
      <c r="A2" s="93"/>
      <c r="B2" s="101"/>
      <c r="C2" s="101"/>
      <c r="D2" s="101"/>
      <c r="E2" s="101"/>
      <c r="F2" s="101"/>
      <c r="I2" s="95"/>
      <c r="J2" s="95"/>
      <c r="K2" s="95"/>
      <c r="L2" s="95"/>
      <c r="M2" s="66"/>
      <c r="N2" s="60"/>
      <c r="O2" s="60"/>
      <c r="P2" s="60"/>
      <c r="Q2" s="64"/>
      <c r="R2" s="60">
        <f>C11</f>
        <v>0</v>
      </c>
      <c r="S2" s="60" t="str">
        <f>M1</f>
        <v/>
      </c>
      <c r="T2" s="60">
        <f>CalendarYear</f>
        <v>2022</v>
      </c>
      <c r="U2" s="61">
        <f>G11</f>
        <v>0</v>
      </c>
      <c r="V2" s="60">
        <f>C17</f>
        <v>0</v>
      </c>
      <c r="W2" s="60">
        <f>H17</f>
        <v>0</v>
      </c>
      <c r="X2" s="60">
        <f>C20</f>
        <v>0</v>
      </c>
      <c r="Y2" s="60">
        <f>H20</f>
        <v>0</v>
      </c>
      <c r="Z2" s="60">
        <f>C26</f>
        <v>0</v>
      </c>
      <c r="AA2" s="62" t="e">
        <f>DATE(T2,S2,R2)</f>
        <v>#VALUE!</v>
      </c>
      <c r="AB2" s="60">
        <f>C17</f>
        <v>0</v>
      </c>
      <c r="AC2" s="60"/>
      <c r="AD2" s="60"/>
      <c r="AE2" s="60"/>
      <c r="AF2" s="60"/>
      <c r="AG2" s="60"/>
    </row>
    <row r="3" spans="1:33" s="32" customFormat="1" x14ac:dyDescent="0.25">
      <c r="A3" s="94"/>
      <c r="B3" s="102"/>
      <c r="C3" s="102"/>
      <c r="D3" s="102"/>
      <c r="E3" s="102"/>
      <c r="F3" s="102"/>
      <c r="I3" s="96"/>
      <c r="J3" s="96"/>
      <c r="K3" s="96"/>
      <c r="L3" s="96"/>
      <c r="M3" s="67" t="str">
        <f>IFERROR(VLOOKUP(H17,BD_CITA!K:P,6,0),"")</f>
        <v/>
      </c>
      <c r="N3" s="63" t="str">
        <f>IFERROR(VLOOKUP(H17,BD_CITA!K:P,2,0),"")</f>
        <v/>
      </c>
      <c r="O3" s="63" t="str">
        <f>IFERROR(VLOOKUP(H17,BD_CITA!K:P,3,0),"")</f>
        <v/>
      </c>
      <c r="P3" s="63"/>
      <c r="Q3" s="65"/>
      <c r="R3" s="63"/>
      <c r="S3" s="63"/>
      <c r="T3" s="63"/>
      <c r="U3" s="63"/>
      <c r="V3" s="63"/>
      <c r="W3" s="63"/>
      <c r="X3" s="63"/>
      <c r="Y3" s="63"/>
      <c r="Z3" s="63"/>
      <c r="AA3" s="63"/>
      <c r="AB3" s="63"/>
      <c r="AC3" s="63"/>
      <c r="AD3" s="63"/>
      <c r="AE3" s="63"/>
      <c r="AF3" s="63"/>
      <c r="AG3" s="63"/>
    </row>
    <row r="4" spans="1:33" x14ac:dyDescent="0.25">
      <c r="M4" s="68"/>
      <c r="N4" s="59"/>
      <c r="O4" s="59"/>
      <c r="P4" s="59"/>
      <c r="Q4" s="64"/>
      <c r="R4" s="64"/>
      <c r="S4" s="64"/>
      <c r="T4" s="64"/>
      <c r="U4" s="64"/>
      <c r="V4" s="64"/>
      <c r="W4" s="64"/>
      <c r="X4" s="64"/>
      <c r="Y4" s="64"/>
      <c r="Z4" s="64"/>
      <c r="AA4" s="64"/>
      <c r="AB4" s="64"/>
      <c r="AC4" s="64"/>
      <c r="AD4" s="64"/>
      <c r="AE4" s="64"/>
      <c r="AF4" s="64"/>
    </row>
    <row r="5" spans="1:33" x14ac:dyDescent="0.25">
      <c r="B5" s="34"/>
      <c r="C5" s="34"/>
      <c r="D5" s="34"/>
      <c r="E5" s="34"/>
      <c r="F5" s="34"/>
      <c r="G5" s="34"/>
      <c r="H5" s="34"/>
      <c r="I5" s="34"/>
      <c r="J5" s="82"/>
      <c r="K5" s="38"/>
      <c r="Q5" s="64"/>
      <c r="R5" s="64"/>
      <c r="S5" s="64"/>
      <c r="T5" s="64"/>
      <c r="U5" s="64"/>
      <c r="V5" s="64"/>
      <c r="W5" s="64"/>
      <c r="X5" s="64"/>
      <c r="Y5" s="64"/>
      <c r="Z5" s="64"/>
      <c r="AA5" s="64"/>
      <c r="AB5" s="64"/>
      <c r="AC5" s="64"/>
      <c r="AD5" s="64"/>
      <c r="AE5" s="64"/>
      <c r="AF5" s="64"/>
    </row>
    <row r="6" spans="1:33" ht="20.25" thickBot="1" x14ac:dyDescent="0.3">
      <c r="B6" s="34"/>
      <c r="C6" s="35" t="s">
        <v>18</v>
      </c>
      <c r="D6" s="34"/>
      <c r="E6" s="34"/>
      <c r="F6" s="34"/>
      <c r="G6" s="34"/>
      <c r="H6" s="34"/>
      <c r="I6" s="34"/>
      <c r="J6" s="34"/>
      <c r="K6" s="38"/>
      <c r="M6" s="100" t="s">
        <v>36</v>
      </c>
      <c r="N6" s="100"/>
      <c r="O6" s="100"/>
      <c r="P6" s="100"/>
      <c r="Q6" s="64"/>
      <c r="R6" s="64"/>
      <c r="S6" s="64"/>
      <c r="T6" s="64"/>
      <c r="U6" s="64"/>
      <c r="V6" s="64"/>
      <c r="W6" s="64"/>
      <c r="X6" s="64"/>
      <c r="Y6" s="64"/>
      <c r="Z6" s="64"/>
      <c r="AA6" s="64"/>
      <c r="AB6" s="64"/>
      <c r="AC6" s="64"/>
      <c r="AD6" s="64"/>
      <c r="AE6" s="64"/>
      <c r="AF6" s="64"/>
    </row>
    <row r="7" spans="1:33" ht="15.75" thickTop="1" x14ac:dyDescent="0.25">
      <c r="B7" s="34"/>
      <c r="C7" s="34"/>
      <c r="D7" s="34"/>
      <c r="E7" s="34"/>
      <c r="F7" s="34"/>
      <c r="G7" s="34"/>
      <c r="H7" s="34"/>
      <c r="I7" s="34"/>
      <c r="J7" s="34"/>
      <c r="K7" s="38"/>
    </row>
    <row r="8" spans="1:33" x14ac:dyDescent="0.25">
      <c r="B8" s="34"/>
      <c r="C8" s="36" t="s">
        <v>28</v>
      </c>
      <c r="D8" s="34"/>
      <c r="E8" s="34"/>
      <c r="F8" s="34"/>
      <c r="G8" s="34"/>
      <c r="H8" s="34"/>
      <c r="I8" s="34"/>
      <c r="J8" s="34"/>
      <c r="K8" s="38"/>
      <c r="M8" s="72" t="s">
        <v>20</v>
      </c>
      <c r="N8" s="73" t="s">
        <v>34</v>
      </c>
      <c r="O8" s="73" t="s">
        <v>27</v>
      </c>
    </row>
    <row r="9" spans="1:33" x14ac:dyDescent="0.25">
      <c r="B9" s="34"/>
      <c r="C9" s="34"/>
      <c r="D9" s="34"/>
      <c r="E9" s="34"/>
      <c r="F9" s="34"/>
      <c r="G9" s="34"/>
      <c r="H9" s="34"/>
      <c r="I9" s="34"/>
      <c r="J9" s="34"/>
      <c r="K9" s="38"/>
      <c r="L9" s="70">
        <v>1</v>
      </c>
      <c r="M9" s="76">
        <f>IFERROR(VLOOKUP($L9,BD_CITA!$E:$N,5,0),"")</f>
        <v>0.58333333333333337</v>
      </c>
      <c r="N9" s="77" t="str">
        <f>IFERROR(VLOOKUP($L9,BD_CITA!$E:$N,6,0),"")</f>
        <v>Luis Abraham Cazarez Valenzuela</v>
      </c>
      <c r="O9" s="77" t="str">
        <f>IFERROR(VLOOKUP($L9,BD_CITA!$E:$N,10,0),"")</f>
        <v>FUMIGACIÓN DE TERMITA</v>
      </c>
    </row>
    <row r="10" spans="1:33" s="33" customFormat="1" x14ac:dyDescent="0.25">
      <c r="B10" s="37"/>
      <c r="C10" s="37" t="s">
        <v>19</v>
      </c>
      <c r="D10" s="37"/>
      <c r="E10" s="74" t="str">
        <f>IF(C11="","*","")</f>
        <v>*</v>
      </c>
      <c r="F10" s="37"/>
      <c r="G10" s="37" t="s">
        <v>20</v>
      </c>
      <c r="H10" s="37"/>
      <c r="I10" s="74" t="str">
        <f>IF(G11="","*","")</f>
        <v>*</v>
      </c>
      <c r="J10" s="37"/>
      <c r="K10" s="39"/>
      <c r="L10" s="71">
        <v>2</v>
      </c>
      <c r="M10" s="76" t="str">
        <f>IFERROR(VLOOKUP($L10,BD_CITA!$E:$N,5,0),"")</f>
        <v/>
      </c>
      <c r="N10" s="77" t="str">
        <f>IFERROR(VLOOKUP($L10,BD_CITA!$E:$N,6,0),"")</f>
        <v/>
      </c>
      <c r="O10" s="77" t="str">
        <f>IFERROR(VLOOKUP($L10,BD_CITA!$E:$N,10,0),"")</f>
        <v/>
      </c>
    </row>
    <row r="11" spans="1:33" ht="21" customHeight="1" x14ac:dyDescent="0.25">
      <c r="A11" s="60">
        <f>B12+F11+B17+G17+G20+B26</f>
        <v>6</v>
      </c>
      <c r="B11" s="83" t="b">
        <v>0</v>
      </c>
      <c r="C11" s="98"/>
      <c r="D11" s="98"/>
      <c r="E11" s="98"/>
      <c r="F11" s="75">
        <f>IF(G11="",1,0)</f>
        <v>1</v>
      </c>
      <c r="G11" s="104"/>
      <c r="H11" s="98"/>
      <c r="I11" s="98"/>
      <c r="J11" s="34"/>
      <c r="K11" s="38"/>
      <c r="L11" s="70">
        <v>3</v>
      </c>
      <c r="M11" s="76" t="str">
        <f>IFERROR(VLOOKUP($L11,BD_CITA!$E:$N,5,0),"")</f>
        <v/>
      </c>
      <c r="N11" s="77" t="str">
        <f>IFERROR(VLOOKUP($L11,BD_CITA!$E:$N,6,0),"")</f>
        <v/>
      </c>
      <c r="O11" s="77" t="str">
        <f>IFERROR(VLOOKUP($L11,BD_CITA!$E:$N,10,0),"")</f>
        <v/>
      </c>
    </row>
    <row r="12" spans="1:33" x14ac:dyDescent="0.25">
      <c r="B12" s="75">
        <f>IF(C11="",1,0)</f>
        <v>1</v>
      </c>
      <c r="C12" s="34"/>
      <c r="D12" s="34"/>
      <c r="E12" s="34"/>
      <c r="F12" s="34"/>
      <c r="G12" s="34"/>
      <c r="H12" s="34"/>
      <c r="I12" s="34"/>
      <c r="J12" s="34"/>
      <c r="K12" s="38"/>
      <c r="L12" s="70">
        <v>4</v>
      </c>
      <c r="M12" s="76" t="str">
        <f>IFERROR(VLOOKUP($L12,BD_CITA!$E:$N,5,0),"")</f>
        <v/>
      </c>
      <c r="N12" s="77" t="str">
        <f>IFERROR(VLOOKUP($L12,BD_CITA!$E:$N,6,0),"")</f>
        <v/>
      </c>
      <c r="O12" s="77" t="str">
        <f>IFERROR(VLOOKUP($L12,BD_CITA!$E:$N,10,0),"")</f>
        <v/>
      </c>
    </row>
    <row r="13" spans="1:33" x14ac:dyDescent="0.25">
      <c r="B13" s="34"/>
      <c r="C13" s="34"/>
      <c r="D13" s="34"/>
      <c r="E13" s="34"/>
      <c r="F13" s="34"/>
      <c r="G13" s="34"/>
      <c r="H13" s="34"/>
      <c r="I13" s="34"/>
      <c r="J13" s="34"/>
      <c r="K13" s="38"/>
      <c r="L13" s="71">
        <v>5</v>
      </c>
      <c r="M13" s="76" t="str">
        <f>IFERROR(VLOOKUP($L13,BD_CITA!$E:$N,5,0),"")</f>
        <v/>
      </c>
      <c r="N13" s="77" t="str">
        <f>IFERROR(VLOOKUP($L13,BD_CITA!$E:$N,6,0),"")</f>
        <v/>
      </c>
      <c r="O13" s="77" t="str">
        <f>IFERROR(VLOOKUP($L13,BD_CITA!$E:$N,10,0),"")</f>
        <v/>
      </c>
    </row>
    <row r="14" spans="1:33" x14ac:dyDescent="0.25">
      <c r="B14" s="34"/>
      <c r="C14" s="36" t="s">
        <v>21</v>
      </c>
      <c r="D14" s="34"/>
      <c r="E14" s="34"/>
      <c r="F14" s="34"/>
      <c r="G14" s="34"/>
      <c r="H14" s="34"/>
      <c r="I14" s="34"/>
      <c r="J14" s="34"/>
      <c r="K14" s="38"/>
      <c r="L14" s="70">
        <v>6</v>
      </c>
      <c r="M14" s="76" t="str">
        <f>IFERROR(VLOOKUP($L14,BD_CITA!$E:$N,5,0),"")</f>
        <v/>
      </c>
      <c r="N14" s="77" t="str">
        <f>IFERROR(VLOOKUP($L14,BD_CITA!$E:$N,6,0),"")</f>
        <v/>
      </c>
      <c r="O14" s="77" t="str">
        <f>IFERROR(VLOOKUP($L14,BD_CITA!$E:$N,10,0),"")</f>
        <v/>
      </c>
    </row>
    <row r="15" spans="1:33" x14ac:dyDescent="0.25">
      <c r="B15" s="34"/>
      <c r="C15" s="34"/>
      <c r="D15" s="34"/>
      <c r="E15" s="34"/>
      <c r="F15" s="34"/>
      <c r="G15" s="34"/>
      <c r="H15" s="34"/>
      <c r="I15" s="34"/>
      <c r="J15" s="34"/>
      <c r="K15" s="38"/>
      <c r="L15" s="70">
        <v>7</v>
      </c>
      <c r="M15" s="76" t="str">
        <f>IFERROR(VLOOKUP($L15,BD_CITA!$E:$N,5,0),"")</f>
        <v/>
      </c>
      <c r="N15" s="77" t="str">
        <f>IFERROR(VLOOKUP($L15,BD_CITA!$E:$N,6,0),"")</f>
        <v/>
      </c>
      <c r="O15" s="77" t="str">
        <f>IFERROR(VLOOKUP($L15,BD_CITA!$E:$N,10,0),"")</f>
        <v/>
      </c>
    </row>
    <row r="16" spans="1:33" x14ac:dyDescent="0.25">
      <c r="B16" s="34"/>
      <c r="C16" s="37" t="s">
        <v>22</v>
      </c>
      <c r="D16" s="37"/>
      <c r="E16" s="37"/>
      <c r="F16" s="74" t="str">
        <f>IF(C17="","*","")</f>
        <v>*</v>
      </c>
      <c r="G16" s="34"/>
      <c r="H16" s="37" t="s">
        <v>23</v>
      </c>
      <c r="I16" s="74" t="str">
        <f>IF(H17="","*","")</f>
        <v>*</v>
      </c>
      <c r="J16" s="34"/>
      <c r="K16" s="38"/>
      <c r="L16" s="71">
        <v>8</v>
      </c>
      <c r="M16" s="76" t="str">
        <f>IFERROR(VLOOKUP($L16,BD_CITA!$E:$N,5,0),"")</f>
        <v/>
      </c>
      <c r="N16" s="77" t="str">
        <f>IFERROR(VLOOKUP($L16,BD_CITA!$E:$N,6,0),"")</f>
        <v/>
      </c>
      <c r="O16" s="77" t="str">
        <f>IFERROR(VLOOKUP($L16,BD_CITA!$E:$N,10,0),"")</f>
        <v/>
      </c>
    </row>
    <row r="17" spans="2:15" ht="21" customHeight="1" x14ac:dyDescent="0.25">
      <c r="B17" s="75">
        <f>IF(C17="",1,0)</f>
        <v>1</v>
      </c>
      <c r="C17" s="97"/>
      <c r="D17" s="98"/>
      <c r="E17" s="98"/>
      <c r="F17" s="98"/>
      <c r="G17" s="75">
        <f>IF(H17="",1,0)</f>
        <v>1</v>
      </c>
      <c r="H17" s="98"/>
      <c r="I17" s="98"/>
      <c r="J17" s="89" t="str">
        <f>IF(H17="","",IF(IFERROR(VLOOKUP(H17,BD_CITA!K:K,1,0),"")=H17,"Buscar",""))</f>
        <v/>
      </c>
      <c r="K17" s="38"/>
      <c r="L17" s="70">
        <v>9</v>
      </c>
      <c r="M17" s="76" t="str">
        <f>IFERROR(VLOOKUP($L17,BD_CITA!$E:$N,5,0),"")</f>
        <v/>
      </c>
      <c r="N17" s="77" t="str">
        <f>IFERROR(VLOOKUP($L17,BD_CITA!$E:$N,6,0),"")</f>
        <v/>
      </c>
      <c r="O17" s="77" t="str">
        <f>IFERROR(VLOOKUP($L17,BD_CITA!$E:$N,10,0),"")</f>
        <v/>
      </c>
    </row>
    <row r="18" spans="2:15" x14ac:dyDescent="0.25">
      <c r="B18" s="34"/>
      <c r="C18" s="34"/>
      <c r="D18" s="34"/>
      <c r="E18" s="34"/>
      <c r="F18" s="34"/>
      <c r="G18" s="85"/>
      <c r="H18" s="34"/>
      <c r="I18" s="34"/>
      <c r="J18" s="34"/>
      <c r="K18" s="38"/>
      <c r="L18" s="70">
        <v>10</v>
      </c>
      <c r="M18" s="76" t="str">
        <f>IFERROR(VLOOKUP($L18,BD_CITA!$E:$N,5,0),"")</f>
        <v/>
      </c>
      <c r="N18" s="77" t="str">
        <f>IFERROR(VLOOKUP($L18,BD_CITA!$E:$N,6,0),"")</f>
        <v/>
      </c>
      <c r="O18" s="77" t="str">
        <f>IFERROR(VLOOKUP($L18,BD_CITA!$E:$N,10,0),"")</f>
        <v/>
      </c>
    </row>
    <row r="19" spans="2:15" x14ac:dyDescent="0.25">
      <c r="B19" s="34"/>
      <c r="C19" s="37" t="s">
        <v>25</v>
      </c>
      <c r="D19" s="37"/>
      <c r="E19" s="37"/>
      <c r="F19" s="37"/>
      <c r="G19" s="37"/>
      <c r="H19" s="37" t="s">
        <v>24</v>
      </c>
      <c r="I19" s="74" t="str">
        <f>IF(H20="","*","")</f>
        <v>*</v>
      </c>
      <c r="J19" s="34"/>
      <c r="K19" s="38"/>
      <c r="L19" s="71">
        <v>11</v>
      </c>
      <c r="M19" s="76" t="str">
        <f>IFERROR(VLOOKUP($L19,BD_CITA!$E:$N,5,0),"")</f>
        <v/>
      </c>
      <c r="N19" s="77" t="str">
        <f>IFERROR(VLOOKUP($L19,BD_CITA!$E:$N,6,0),"")</f>
        <v/>
      </c>
      <c r="O19" s="77" t="str">
        <f>IFERROR(VLOOKUP($L19,BD_CITA!$E:$N,10,0),"")</f>
        <v/>
      </c>
    </row>
    <row r="20" spans="2:15" ht="21" customHeight="1" x14ac:dyDescent="0.25">
      <c r="B20" s="85"/>
      <c r="C20" s="99"/>
      <c r="D20" s="98"/>
      <c r="E20" s="98"/>
      <c r="F20" s="98"/>
      <c r="G20" s="75">
        <f>IF(H20="",1,0)</f>
        <v>1</v>
      </c>
      <c r="H20" s="98"/>
      <c r="I20" s="98"/>
      <c r="J20" s="34"/>
      <c r="K20" s="38"/>
      <c r="L20" s="70">
        <v>12</v>
      </c>
      <c r="M20" s="76" t="str">
        <f>IFERROR(VLOOKUP($L20,BD_CITA!$E:$N,5,0),"")</f>
        <v/>
      </c>
      <c r="N20" s="77" t="str">
        <f>IFERROR(VLOOKUP($L20,BD_CITA!$E:$N,6,0),"")</f>
        <v/>
      </c>
      <c r="O20" s="77" t="str">
        <f>IFERROR(VLOOKUP($L20,BD_CITA!$E:$N,10,0),"")</f>
        <v/>
      </c>
    </row>
    <row r="21" spans="2:15" x14ac:dyDescent="0.25">
      <c r="B21" s="34"/>
      <c r="C21" s="34"/>
      <c r="D21" s="34"/>
      <c r="E21" s="34"/>
      <c r="F21" s="34"/>
      <c r="G21" s="34"/>
      <c r="H21" s="34"/>
      <c r="I21" s="34"/>
      <c r="J21" s="34"/>
      <c r="K21" s="38"/>
      <c r="L21" s="70">
        <v>13</v>
      </c>
      <c r="M21" s="76" t="str">
        <f>IFERROR(VLOOKUP($L21,BD_CITA!$E:$N,5,0),"")</f>
        <v/>
      </c>
      <c r="N21" s="77" t="str">
        <f>IFERROR(VLOOKUP($L21,BD_CITA!$E:$N,6,0),"")</f>
        <v/>
      </c>
      <c r="O21" s="77" t="str">
        <f>IFERROR(VLOOKUP($L21,BD_CITA!$E:$N,10,0),"")</f>
        <v/>
      </c>
    </row>
    <row r="22" spans="2:15" x14ac:dyDescent="0.25">
      <c r="B22" s="34"/>
      <c r="C22" s="34"/>
      <c r="D22" s="34"/>
      <c r="E22" s="34"/>
      <c r="F22" s="34"/>
      <c r="G22" s="34"/>
      <c r="H22" s="34"/>
      <c r="I22" s="34"/>
      <c r="J22" s="34"/>
      <c r="K22" s="38"/>
      <c r="L22" s="71">
        <v>14</v>
      </c>
      <c r="M22" s="76" t="str">
        <f>IFERROR(VLOOKUP($L22,BD_CITA!$E:$N,5,0),"")</f>
        <v/>
      </c>
      <c r="N22" s="77" t="str">
        <f>IFERROR(VLOOKUP($L22,BD_CITA!$E:$N,6,0),"")</f>
        <v/>
      </c>
      <c r="O22" s="77" t="str">
        <f>IFERROR(VLOOKUP($L22,BD_CITA!$E:$N,10,0),"")</f>
        <v/>
      </c>
    </row>
    <row r="23" spans="2:15" x14ac:dyDescent="0.25">
      <c r="B23" s="34"/>
      <c r="C23" s="36" t="s">
        <v>26</v>
      </c>
      <c r="D23" s="34"/>
      <c r="E23" s="34"/>
      <c r="F23" s="34"/>
      <c r="G23" s="34"/>
      <c r="H23" s="34"/>
      <c r="I23" s="34"/>
      <c r="J23" s="34"/>
      <c r="K23" s="38"/>
      <c r="L23" s="70">
        <v>15</v>
      </c>
      <c r="M23" s="76" t="str">
        <f>IFERROR(VLOOKUP($L23,BD_CITA!$E:$N,5,0),"")</f>
        <v/>
      </c>
      <c r="N23" s="77" t="str">
        <f>IFERROR(VLOOKUP($L23,BD_CITA!$E:$N,6,0),"")</f>
        <v/>
      </c>
      <c r="O23" s="77" t="str">
        <f>IFERROR(VLOOKUP($L23,BD_CITA!$E:$N,10,0),"")</f>
        <v/>
      </c>
    </row>
    <row r="24" spans="2:15" x14ac:dyDescent="0.25">
      <c r="B24" s="34"/>
      <c r="C24" s="34"/>
      <c r="D24" s="34"/>
      <c r="E24" s="34"/>
      <c r="F24" s="34"/>
      <c r="G24" s="34"/>
      <c r="H24" s="34"/>
      <c r="I24" s="34"/>
      <c r="J24" s="34"/>
      <c r="K24" s="38"/>
      <c r="L24" s="70">
        <v>16</v>
      </c>
      <c r="M24" s="76" t="str">
        <f>IFERROR(VLOOKUP($L24,BD_CITA!$E:$N,5,0),"")</f>
        <v/>
      </c>
      <c r="N24" s="77" t="str">
        <f>IFERROR(VLOOKUP($L24,BD_CITA!$E:$N,6,0),"")</f>
        <v/>
      </c>
      <c r="O24" s="77" t="str">
        <f>IFERROR(VLOOKUP($L24,BD_CITA!$E:$N,10,0),"")</f>
        <v/>
      </c>
    </row>
    <row r="25" spans="2:15" x14ac:dyDescent="0.25">
      <c r="B25" s="34"/>
      <c r="C25" s="37" t="s">
        <v>27</v>
      </c>
      <c r="D25" s="37"/>
      <c r="E25" s="37"/>
      <c r="F25" s="37"/>
      <c r="G25"/>
      <c r="H25" s="37"/>
      <c r="I25" s="74" t="str">
        <f>IF(C26="","*","")</f>
        <v>*</v>
      </c>
      <c r="J25" s="34"/>
      <c r="K25" s="38"/>
      <c r="L25" s="71">
        <v>17</v>
      </c>
      <c r="M25" s="76" t="str">
        <f>IFERROR(VLOOKUP($L25,BD_CITA!$E:$N,5,0),"")</f>
        <v/>
      </c>
      <c r="N25" s="77" t="str">
        <f>IFERROR(VLOOKUP($L25,BD_CITA!$E:$N,6,0),"")</f>
        <v/>
      </c>
      <c r="O25" s="77" t="str">
        <f>IFERROR(VLOOKUP($L25,BD_CITA!$E:$N,10,0),"")</f>
        <v/>
      </c>
    </row>
    <row r="26" spans="2:15" ht="52.9" customHeight="1" x14ac:dyDescent="0.25">
      <c r="B26" s="75">
        <f>IF(C26="",1,0)</f>
        <v>1</v>
      </c>
      <c r="C26" s="103"/>
      <c r="D26" s="103"/>
      <c r="E26" s="103"/>
      <c r="F26" s="103"/>
      <c r="G26" s="103"/>
      <c r="H26" s="103"/>
      <c r="I26" s="103"/>
      <c r="J26" s="34"/>
      <c r="K26" s="38"/>
      <c r="L26" s="70">
        <v>18</v>
      </c>
      <c r="M26" s="76" t="str">
        <f>IFERROR(VLOOKUP($L26,BD_CITA!$E:$N,5,0),"")</f>
        <v/>
      </c>
      <c r="N26" s="77" t="str">
        <f>IFERROR(VLOOKUP($L26,BD_CITA!$E:$N,6,0),"")</f>
        <v/>
      </c>
      <c r="O26" s="77" t="str">
        <f>IFERROR(VLOOKUP($L26,BD_CITA!$E:$N,10,0),"")</f>
        <v/>
      </c>
    </row>
    <row r="27" spans="2:15" x14ac:dyDescent="0.25">
      <c r="B27" s="34"/>
      <c r="C27" s="34"/>
      <c r="D27" s="34"/>
      <c r="E27" s="34"/>
      <c r="F27" s="34"/>
      <c r="G27" s="34"/>
      <c r="H27" s="34"/>
      <c r="I27" s="34"/>
      <c r="J27" s="34"/>
      <c r="K27" s="38"/>
      <c r="L27" s="70">
        <v>19</v>
      </c>
      <c r="M27" s="76" t="str">
        <f>IFERROR(VLOOKUP($L27,BD_CITA!$E:$N,5,0),"")</f>
        <v/>
      </c>
      <c r="N27" s="77" t="str">
        <f>IFERROR(VLOOKUP($L27,BD_CITA!$E:$N,6,0),"")</f>
        <v/>
      </c>
      <c r="O27" s="77" t="str">
        <f>IFERROR(VLOOKUP($L27,BD_CITA!$E:$N,10,0),"")</f>
        <v/>
      </c>
    </row>
    <row r="28" spans="2:15" x14ac:dyDescent="0.25">
      <c r="B28" s="34"/>
      <c r="C28" s="34"/>
      <c r="D28" s="34"/>
      <c r="E28" s="34"/>
      <c r="F28" s="34"/>
      <c r="G28" s="34"/>
      <c r="H28" s="34"/>
      <c r="I28" s="34"/>
      <c r="J28" s="30"/>
      <c r="K28" s="30"/>
      <c r="L28" s="71">
        <v>20</v>
      </c>
      <c r="M28" s="76" t="str">
        <f>IFERROR(VLOOKUP($L28,BD_CITA!$E:$N,5,0),"")</f>
        <v/>
      </c>
      <c r="N28" s="77" t="str">
        <f>IFERROR(VLOOKUP($L28,BD_CITA!$E:$N,6,0),"")</f>
        <v/>
      </c>
      <c r="O28" s="77" t="str">
        <f>IFERROR(VLOOKUP($L28,BD_CITA!$E:$N,10,0),"")</f>
        <v/>
      </c>
    </row>
    <row r="29" spans="2:15" ht="20.45" customHeight="1" x14ac:dyDescent="0.25">
      <c r="B29" s="34"/>
      <c r="C29" s="34"/>
      <c r="D29" s="34"/>
      <c r="E29" s="34"/>
      <c r="F29" s="34"/>
      <c r="G29" s="34"/>
      <c r="H29" s="34"/>
      <c r="I29" s="34"/>
      <c r="J29" s="30"/>
      <c r="K29" s="30"/>
      <c r="L29" s="70">
        <v>21</v>
      </c>
      <c r="M29" s="76" t="str">
        <f>IFERROR(VLOOKUP($L29,BD_CITA!$E:$N,5,0),"")</f>
        <v/>
      </c>
      <c r="N29" s="77" t="str">
        <f>IFERROR(VLOOKUP($L29,BD_CITA!$E:$N,6,0),"")</f>
        <v/>
      </c>
      <c r="O29" s="77" t="str">
        <f>IFERROR(VLOOKUP($L29,BD_CITA!$E:$N,10,0),"")</f>
        <v/>
      </c>
    </row>
    <row r="30" spans="2:15" ht="5.45" customHeight="1" x14ac:dyDescent="0.25">
      <c r="B30" s="38"/>
      <c r="C30" s="38"/>
      <c r="D30" s="38"/>
      <c r="E30" s="38"/>
      <c r="F30" s="38"/>
      <c r="G30" s="38"/>
      <c r="H30" s="38"/>
      <c r="I30" s="38"/>
      <c r="J30" s="30"/>
      <c r="K30" s="30"/>
      <c r="L30" s="70">
        <v>22</v>
      </c>
      <c r="M30" s="76" t="str">
        <f>IFERROR(VLOOKUP($L30,BD_CITA!$E:$N,5,0),"")</f>
        <v/>
      </c>
      <c r="N30" s="77" t="str">
        <f>IFERROR(VLOOKUP($L30,BD_CITA!$E:$N,6,0),"")</f>
        <v/>
      </c>
      <c r="O30" s="77" t="str">
        <f>IFERROR(VLOOKUP($L30,BD_CITA!$E:$N,10,0),"")</f>
        <v/>
      </c>
    </row>
  </sheetData>
  <sheetProtection sheet="1" objects="1" scenarios="1" selectLockedCells="1"/>
  <mergeCells count="11">
    <mergeCell ref="M6:P6"/>
    <mergeCell ref="B1:F3"/>
    <mergeCell ref="C26:I26"/>
    <mergeCell ref="C11:E11"/>
    <mergeCell ref="G11:I11"/>
    <mergeCell ref="A1:A3"/>
    <mergeCell ref="I1:L3"/>
    <mergeCell ref="C17:F17"/>
    <mergeCell ref="C20:F20"/>
    <mergeCell ref="H17:I17"/>
    <mergeCell ref="H20:I20"/>
  </mergeCells>
  <conditionalFormatting sqref="J17">
    <cfRule type="expression" dxfId="0" priority="1">
      <formula>$J$17="Buscar"</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macro="[0]!HOY">
                <anchor moveWithCells="1">
                  <from>
                    <xdr:col>4</xdr:col>
                    <xdr:colOff>161925</xdr:colOff>
                    <xdr:row>8</xdr:row>
                    <xdr:rowOff>57150</xdr:rowOff>
                  </from>
                  <to>
                    <xdr:col>5</xdr:col>
                    <xdr:colOff>238125</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AAD19-ACF5-4AFF-B818-B392E2F53332}">
  <sheetPr codeName="Hoja5" filterMode="1"/>
  <dimension ref="A1:AP4992"/>
  <sheetViews>
    <sheetView showGridLines="0" showRowColHeaders="0" topLeftCell="F1" workbookViewId="0">
      <selection activeCell="F7" sqref="F7:P7"/>
    </sheetView>
  </sheetViews>
  <sheetFormatPr baseColWidth="10" defaultRowHeight="15" x14ac:dyDescent="0.25"/>
  <cols>
    <col min="1" max="5" width="13.125" style="42" hidden="1" customWidth="1"/>
    <col min="6" max="8" width="13.125" style="46" customWidth="1"/>
    <col min="9" max="9" width="13.125" style="50" customWidth="1"/>
    <col min="10" max="10" width="30.5" style="46" customWidth="1"/>
    <col min="11" max="11" width="22.625" style="46" customWidth="1"/>
    <col min="12" max="12" width="29.5" style="46" customWidth="1"/>
    <col min="13" max="13" width="24.625" style="88" customWidth="1"/>
    <col min="14" max="14" width="48.375" style="46" customWidth="1"/>
    <col min="15" max="15" width="19.75" style="80" customWidth="1"/>
  </cols>
  <sheetData>
    <row r="1" spans="1:42" s="30" customFormat="1" ht="36" customHeight="1" x14ac:dyDescent="0.25">
      <c r="F1" s="41" t="s">
        <v>29</v>
      </c>
      <c r="G1" s="40"/>
      <c r="H1" s="40"/>
      <c r="I1" s="48"/>
      <c r="J1" s="40"/>
      <c r="K1" s="40"/>
      <c r="L1" s="40"/>
      <c r="M1" s="86"/>
      <c r="N1" s="40"/>
      <c r="O1" s="78"/>
      <c r="AG1" s="81" t="s">
        <v>19</v>
      </c>
      <c r="AH1" s="81" t="s">
        <v>32</v>
      </c>
      <c r="AI1" s="81" t="s">
        <v>33</v>
      </c>
      <c r="AJ1" s="81" t="s">
        <v>20</v>
      </c>
      <c r="AK1" s="81" t="s">
        <v>34</v>
      </c>
      <c r="AL1" s="81" t="s">
        <v>23</v>
      </c>
      <c r="AM1" s="81" t="s">
        <v>25</v>
      </c>
      <c r="AN1" s="81" t="s">
        <v>24</v>
      </c>
      <c r="AO1" s="81" t="s">
        <v>27</v>
      </c>
      <c r="AP1" s="81" t="s">
        <v>35</v>
      </c>
    </row>
    <row r="2" spans="1:42" x14ac:dyDescent="0.25">
      <c r="A2"/>
      <c r="B2"/>
      <c r="C2"/>
      <c r="D2"/>
      <c r="E2"/>
      <c r="F2" s="45"/>
      <c r="G2" s="45"/>
      <c r="H2" s="45"/>
      <c r="I2" s="49"/>
      <c r="J2" s="45"/>
      <c r="K2" s="45"/>
      <c r="L2" s="45"/>
      <c r="M2" s="87"/>
      <c r="N2" s="45"/>
      <c r="O2" s="79"/>
      <c r="AP2" s="28" t="s">
        <v>40</v>
      </c>
    </row>
    <row r="3" spans="1:42" x14ac:dyDescent="0.25">
      <c r="A3"/>
      <c r="B3"/>
      <c r="C3"/>
      <c r="D3"/>
      <c r="E3"/>
      <c r="F3" s="45"/>
      <c r="G3" s="45"/>
      <c r="H3" s="45"/>
      <c r="I3" s="49"/>
      <c r="J3" s="45"/>
      <c r="K3" s="45"/>
      <c r="L3" s="45"/>
      <c r="M3" s="87"/>
      <c r="N3" s="45"/>
      <c r="O3" s="79"/>
      <c r="AP3" s="23"/>
    </row>
    <row r="4" spans="1:42" x14ac:dyDescent="0.25">
      <c r="A4"/>
      <c r="B4"/>
      <c r="C4"/>
      <c r="D4"/>
      <c r="E4"/>
      <c r="F4" s="45"/>
      <c r="G4" s="45"/>
      <c r="H4" s="45"/>
      <c r="I4" s="49"/>
      <c r="J4" s="45"/>
      <c r="K4" s="45"/>
      <c r="L4" s="45"/>
      <c r="M4" s="87"/>
      <c r="N4" s="45"/>
      <c r="O4" s="79"/>
    </row>
    <row r="5" spans="1:42" ht="21" x14ac:dyDescent="0.25">
      <c r="A5"/>
      <c r="B5"/>
      <c r="C5"/>
      <c r="D5"/>
      <c r="E5"/>
      <c r="F5" s="47" t="s">
        <v>30</v>
      </c>
      <c r="G5" s="45"/>
      <c r="H5" s="45"/>
      <c r="I5" s="49"/>
      <c r="J5" s="45"/>
      <c r="K5" s="45"/>
      <c r="L5" s="45"/>
      <c r="M5" s="87"/>
      <c r="N5" s="45"/>
      <c r="O5" s="79"/>
    </row>
    <row r="6" spans="1:42" x14ac:dyDescent="0.25">
      <c r="A6"/>
      <c r="B6"/>
      <c r="C6"/>
      <c r="D6"/>
      <c r="E6"/>
      <c r="F6" s="45"/>
      <c r="G6" s="45"/>
      <c r="H6" s="45"/>
      <c r="I6" s="49"/>
      <c r="J6" s="45"/>
      <c r="K6" s="45"/>
      <c r="L6" s="45"/>
      <c r="M6" s="87"/>
      <c r="N6" s="45"/>
      <c r="O6" s="79"/>
    </row>
    <row r="7" spans="1:42" hidden="1" x14ac:dyDescent="0.25">
      <c r="E7" s="43">
        <f>COUNTIF($O$7:O7,FORMULARIO!$AA$2)</f>
        <v>1</v>
      </c>
      <c r="F7" s="46">
        <v>26</v>
      </c>
      <c r="G7" s="46" t="s">
        <v>40</v>
      </c>
      <c r="H7" s="46">
        <v>2022</v>
      </c>
      <c r="I7" s="50">
        <v>0.58333333333333337</v>
      </c>
      <c r="J7" s="46" t="s">
        <v>37</v>
      </c>
      <c r="K7" s="46">
        <v>23123131</v>
      </c>
      <c r="L7" s="46" t="s">
        <v>41</v>
      </c>
      <c r="M7" s="46">
        <v>6871582999</v>
      </c>
      <c r="N7" s="46" t="s">
        <v>42</v>
      </c>
      <c r="O7" s="80" t="e">
        <v>#VALUE!</v>
      </c>
      <c r="P7" s="16" t="s">
        <v>37</v>
      </c>
    </row>
    <row r="8" spans="1:42" hidden="1" x14ac:dyDescent="0.25">
      <c r="E8" s="43">
        <f>COUNTIF($O$7:O8,FORMULARIO!$AA$2)</f>
        <v>1</v>
      </c>
      <c r="M8" s="46"/>
      <c r="P8" s="16"/>
    </row>
    <row r="9" spans="1:42" hidden="1" x14ac:dyDescent="0.25">
      <c r="E9" s="43">
        <f>COUNTIF($O$7:O9,FORMULARIO!$AA$2)</f>
        <v>1</v>
      </c>
      <c r="M9" s="46"/>
      <c r="P9" s="16"/>
    </row>
    <row r="10" spans="1:42" hidden="1" x14ac:dyDescent="0.25">
      <c r="E10" s="43">
        <f>COUNTIF($O$7:O10,FORMULARIO!$AA$2)</f>
        <v>1</v>
      </c>
      <c r="M10" s="46"/>
      <c r="P10" s="16"/>
    </row>
    <row r="11" spans="1:42" hidden="1" x14ac:dyDescent="0.25">
      <c r="E11" s="43">
        <f>COUNTIF($O$7:O11,FORMULARIO!$AA$2)</f>
        <v>1</v>
      </c>
      <c r="M11" s="46"/>
      <c r="P11" s="16"/>
    </row>
    <row r="12" spans="1:42" hidden="1" x14ac:dyDescent="0.25">
      <c r="E12" s="43">
        <f>COUNTIF($O$7:O12,FORMULARIO!$AA$2)</f>
        <v>1</v>
      </c>
      <c r="M12" s="46"/>
      <c r="P12" s="16"/>
    </row>
    <row r="13" spans="1:42" hidden="1" x14ac:dyDescent="0.25">
      <c r="E13" s="43">
        <f>COUNTIF($O$7:O13,FORMULARIO!$AA$2)</f>
        <v>1</v>
      </c>
      <c r="M13" s="46"/>
      <c r="P13" s="16"/>
    </row>
    <row r="14" spans="1:42" hidden="1" x14ac:dyDescent="0.25">
      <c r="E14" s="43">
        <f>COUNTIF($O$7:O14,FORMULARIO!$AA$2)</f>
        <v>1</v>
      </c>
      <c r="M14" s="46"/>
      <c r="P14" s="16"/>
    </row>
    <row r="15" spans="1:42" hidden="1" x14ac:dyDescent="0.25">
      <c r="E15" s="43">
        <f>COUNTIF($O$7:O15,FORMULARIO!$AA$2)</f>
        <v>1</v>
      </c>
      <c r="M15" s="46"/>
      <c r="P15" s="16"/>
    </row>
    <row r="16" spans="1:42" hidden="1" x14ac:dyDescent="0.25">
      <c r="E16" s="43">
        <f>COUNTIF($O$7:O16,FORMULARIO!$AA$2)</f>
        <v>1</v>
      </c>
      <c r="M16" s="46"/>
      <c r="P16" s="16"/>
    </row>
    <row r="17" spans="5:16" hidden="1" x14ac:dyDescent="0.25">
      <c r="E17" s="43">
        <f>COUNTIF($O$7:O17,FORMULARIO!$AA$2)</f>
        <v>1</v>
      </c>
      <c r="M17" s="46"/>
      <c r="P17" s="16"/>
    </row>
    <row r="18" spans="5:16" hidden="1" x14ac:dyDescent="0.25">
      <c r="E18" s="43">
        <f>COUNTIF($O$7:O18,FORMULARIO!$AA$2)</f>
        <v>1</v>
      </c>
      <c r="M18" s="46"/>
      <c r="P18" s="16"/>
    </row>
    <row r="19" spans="5:16" hidden="1" x14ac:dyDescent="0.25">
      <c r="E19" s="43">
        <f>COUNTIF($O$7:O19,FORMULARIO!$AA$2)</f>
        <v>1</v>
      </c>
      <c r="M19" s="46"/>
      <c r="P19" s="16"/>
    </row>
    <row r="20" spans="5:16" hidden="1" x14ac:dyDescent="0.25">
      <c r="E20" s="43">
        <f>COUNTIF($O$7:O20,FORMULARIO!$AA$2)</f>
        <v>1</v>
      </c>
      <c r="M20" s="46"/>
      <c r="P20" s="16"/>
    </row>
    <row r="21" spans="5:16" hidden="1" x14ac:dyDescent="0.25">
      <c r="E21" s="43">
        <f>COUNTIF($O$7:O21,FORMULARIO!$AA$2)</f>
        <v>1</v>
      </c>
      <c r="M21" s="46"/>
      <c r="P21" s="16"/>
    </row>
    <row r="22" spans="5:16" hidden="1" x14ac:dyDescent="0.25">
      <c r="E22" s="43">
        <f>COUNTIF($O$7:O22,FORMULARIO!$AA$2)</f>
        <v>1</v>
      </c>
      <c r="M22" s="46"/>
      <c r="P22" s="16"/>
    </row>
    <row r="23" spans="5:16" hidden="1" x14ac:dyDescent="0.25">
      <c r="E23" s="43">
        <f>COUNTIF($O$7:O23,FORMULARIO!$AA$2)</f>
        <v>1</v>
      </c>
      <c r="M23" s="46"/>
      <c r="P23" s="16"/>
    </row>
    <row r="24" spans="5:16" hidden="1" x14ac:dyDescent="0.25">
      <c r="E24" s="43">
        <f>COUNTIF($O$7:O24,FORMULARIO!$AA$2)</f>
        <v>1</v>
      </c>
      <c r="M24" s="46"/>
      <c r="P24" s="16"/>
    </row>
    <row r="25" spans="5:16" hidden="1" x14ac:dyDescent="0.25">
      <c r="E25" s="43">
        <f>COUNTIF($O$7:O25,FORMULARIO!$AA$2)</f>
        <v>1</v>
      </c>
      <c r="M25" s="46"/>
      <c r="P25" s="16"/>
    </row>
    <row r="26" spans="5:16" hidden="1" x14ac:dyDescent="0.25">
      <c r="E26" s="43">
        <f>COUNTIF($O$7:O26,FORMULARIO!$AA$2)</f>
        <v>1</v>
      </c>
      <c r="M26" s="46"/>
      <c r="P26" s="16"/>
    </row>
    <row r="27" spans="5:16" hidden="1" x14ac:dyDescent="0.25">
      <c r="E27" s="43">
        <f>COUNTIF($O$7:O27,FORMULARIO!$AA$2)</f>
        <v>1</v>
      </c>
      <c r="M27" s="46"/>
      <c r="P27" s="16"/>
    </row>
    <row r="28" spans="5:16" hidden="1" x14ac:dyDescent="0.25">
      <c r="E28" s="43">
        <f>COUNTIF($O$7:O28,FORMULARIO!$AA$2)</f>
        <v>1</v>
      </c>
      <c r="M28" s="46"/>
      <c r="P28" s="16"/>
    </row>
    <row r="29" spans="5:16" hidden="1" x14ac:dyDescent="0.25">
      <c r="E29" s="43">
        <f>COUNTIF($O$7:O29,FORMULARIO!$AA$2)</f>
        <v>1</v>
      </c>
      <c r="M29" s="46"/>
      <c r="P29" s="16"/>
    </row>
    <row r="30" spans="5:16" hidden="1" x14ac:dyDescent="0.25">
      <c r="E30" s="43">
        <f>COUNTIF($O$7:O30,FORMULARIO!$AA$2)</f>
        <v>1</v>
      </c>
      <c r="M30" s="46"/>
      <c r="P30" s="16"/>
    </row>
    <row r="31" spans="5:16" hidden="1" x14ac:dyDescent="0.25">
      <c r="E31" s="43">
        <f>COUNTIF($O$7:O31,FORMULARIO!$AA$2)</f>
        <v>1</v>
      </c>
      <c r="M31" s="46"/>
      <c r="P31" s="16"/>
    </row>
    <row r="32" spans="5:16" hidden="1" x14ac:dyDescent="0.25">
      <c r="E32" s="43">
        <f>COUNTIF($O$7:O32,FORMULARIO!$AA$2)</f>
        <v>1</v>
      </c>
      <c r="M32" s="46"/>
      <c r="P32" s="16"/>
    </row>
    <row r="33" spans="5:16" hidden="1" x14ac:dyDescent="0.25">
      <c r="E33" s="43">
        <f>COUNTIF($O$7:O33,FORMULARIO!$AA$2)</f>
        <v>1</v>
      </c>
      <c r="M33" s="46"/>
      <c r="P33" s="16"/>
    </row>
    <row r="34" spans="5:16" hidden="1" x14ac:dyDescent="0.25">
      <c r="E34" s="43">
        <f>COUNTIF($O$7:O34,FORMULARIO!$AA$2)</f>
        <v>1</v>
      </c>
      <c r="M34" s="46"/>
      <c r="P34" s="16"/>
    </row>
    <row r="35" spans="5:16" hidden="1" x14ac:dyDescent="0.25">
      <c r="E35" s="43">
        <f>COUNTIF($O$7:O35,FORMULARIO!$AA$2)</f>
        <v>1</v>
      </c>
      <c r="M35" s="46"/>
      <c r="P35" s="16"/>
    </row>
    <row r="36" spans="5:16" hidden="1" x14ac:dyDescent="0.25">
      <c r="E36" s="43">
        <f>COUNTIF($O$7:O36,FORMULARIO!$AA$2)</f>
        <v>1</v>
      </c>
      <c r="M36" s="46"/>
      <c r="P36" s="16"/>
    </row>
    <row r="37" spans="5:16" hidden="1" x14ac:dyDescent="0.25">
      <c r="E37" s="43">
        <f>COUNTIF($O$7:O37,FORMULARIO!$AA$2)</f>
        <v>1</v>
      </c>
      <c r="M37" s="46"/>
      <c r="P37" s="16"/>
    </row>
    <row r="38" spans="5:16" hidden="1" x14ac:dyDescent="0.25">
      <c r="E38" s="43">
        <f>COUNTIF($O$7:O38,FORMULARIO!$AA$2)</f>
        <v>1</v>
      </c>
      <c r="M38" s="46"/>
      <c r="P38" s="16"/>
    </row>
    <row r="39" spans="5:16" hidden="1" x14ac:dyDescent="0.25">
      <c r="E39" s="43">
        <f>COUNTIF($O$7:O39,FORMULARIO!$AA$2)</f>
        <v>1</v>
      </c>
      <c r="M39" s="46"/>
      <c r="P39" s="16"/>
    </row>
    <row r="40" spans="5:16" hidden="1" x14ac:dyDescent="0.25">
      <c r="E40" s="43">
        <f>COUNTIF($O$7:O40,FORMULARIO!$AA$2)</f>
        <v>1</v>
      </c>
      <c r="M40" s="46"/>
      <c r="P40" s="16"/>
    </row>
    <row r="41" spans="5:16" hidden="1" x14ac:dyDescent="0.25">
      <c r="E41" s="43">
        <f>COUNTIF($O$7:O41,FORMULARIO!$AA$2)</f>
        <v>1</v>
      </c>
      <c r="M41" s="46"/>
      <c r="P41" s="16"/>
    </row>
    <row r="42" spans="5:16" hidden="1" x14ac:dyDescent="0.25">
      <c r="E42" s="43">
        <f>COUNTIF($O$7:O42,FORMULARIO!$AA$2)</f>
        <v>1</v>
      </c>
      <c r="M42" s="46"/>
      <c r="P42" s="16"/>
    </row>
    <row r="43" spans="5:16" hidden="1" x14ac:dyDescent="0.25">
      <c r="E43" s="43">
        <f>COUNTIF($O$7:O43,FORMULARIO!$AA$2)</f>
        <v>1</v>
      </c>
      <c r="M43" s="46"/>
      <c r="P43" s="16"/>
    </row>
    <row r="44" spans="5:16" hidden="1" x14ac:dyDescent="0.25">
      <c r="E44" s="43">
        <f>COUNTIF($O$7:O44,FORMULARIO!$AA$2)</f>
        <v>1</v>
      </c>
      <c r="M44" s="46"/>
      <c r="P44" s="16"/>
    </row>
    <row r="45" spans="5:16" hidden="1" x14ac:dyDescent="0.25">
      <c r="E45" s="43">
        <f>COUNTIF($O$7:O45,FORMULARIO!$AA$2)</f>
        <v>1</v>
      </c>
      <c r="M45" s="46"/>
      <c r="P45" s="16"/>
    </row>
    <row r="46" spans="5:16" hidden="1" x14ac:dyDescent="0.25">
      <c r="E46" s="43">
        <f>COUNTIF($O$7:O46,FORMULARIO!$AA$2)</f>
        <v>1</v>
      </c>
      <c r="M46" s="46"/>
      <c r="P46" s="16"/>
    </row>
    <row r="47" spans="5:16" hidden="1" x14ac:dyDescent="0.25">
      <c r="E47" s="43">
        <f>COUNTIF($O$7:O47,FORMULARIO!$AA$2)</f>
        <v>1</v>
      </c>
      <c r="M47" s="46"/>
      <c r="P47" s="16"/>
    </row>
    <row r="48" spans="5:16" hidden="1" x14ac:dyDescent="0.25">
      <c r="E48" s="43">
        <f>COUNTIF($O$7:O48,FORMULARIO!$AA$2)</f>
        <v>1</v>
      </c>
      <c r="M48" s="46"/>
      <c r="P48" s="16"/>
    </row>
    <row r="49" spans="5:16" hidden="1" x14ac:dyDescent="0.25">
      <c r="E49" s="43">
        <f>COUNTIF($O$7:O49,FORMULARIO!$AA$2)</f>
        <v>1</v>
      </c>
      <c r="M49" s="46"/>
      <c r="P49" s="16"/>
    </row>
    <row r="50" spans="5:16" hidden="1" x14ac:dyDescent="0.25">
      <c r="E50" s="43">
        <f>COUNTIF($O$7:O50,FORMULARIO!$AA$2)</f>
        <v>1</v>
      </c>
      <c r="M50" s="46"/>
      <c r="P50" s="16"/>
    </row>
    <row r="51" spans="5:16" hidden="1" x14ac:dyDescent="0.25">
      <c r="E51" s="43">
        <f>COUNTIF($O$7:O51,FORMULARIO!$AA$2)</f>
        <v>1</v>
      </c>
      <c r="M51" s="46"/>
      <c r="P51" s="16"/>
    </row>
    <row r="52" spans="5:16" hidden="1" x14ac:dyDescent="0.25">
      <c r="E52" s="43">
        <f>COUNTIF($O$7:O52,FORMULARIO!$AA$2)</f>
        <v>1</v>
      </c>
      <c r="M52" s="46"/>
      <c r="P52" s="16"/>
    </row>
    <row r="53" spans="5:16" hidden="1" x14ac:dyDescent="0.25">
      <c r="E53" s="43">
        <f>COUNTIF($O$7:O53,FORMULARIO!$AA$2)</f>
        <v>1</v>
      </c>
      <c r="M53" s="46"/>
      <c r="P53" s="16"/>
    </row>
    <row r="54" spans="5:16" hidden="1" x14ac:dyDescent="0.25">
      <c r="E54" s="43">
        <f>COUNTIF($O$7:O54,FORMULARIO!$AA$2)</f>
        <v>1</v>
      </c>
      <c r="M54" s="46"/>
      <c r="P54" s="16"/>
    </row>
    <row r="55" spans="5:16" hidden="1" x14ac:dyDescent="0.25">
      <c r="E55" s="43">
        <f>COUNTIF($O$7:O55,FORMULARIO!$AA$2)</f>
        <v>1</v>
      </c>
      <c r="M55" s="46"/>
      <c r="P55" s="16"/>
    </row>
    <row r="56" spans="5:16" hidden="1" x14ac:dyDescent="0.25">
      <c r="E56" s="43">
        <f>COUNTIF($O$7:O56,FORMULARIO!$AA$2)</f>
        <v>1</v>
      </c>
      <c r="M56" s="46"/>
      <c r="P56" s="16"/>
    </row>
    <row r="57" spans="5:16" hidden="1" x14ac:dyDescent="0.25">
      <c r="E57" s="43">
        <f>COUNTIF($O$7:O57,FORMULARIO!$AA$2)</f>
        <v>1</v>
      </c>
      <c r="M57" s="46"/>
      <c r="P57" s="16"/>
    </row>
    <row r="58" spans="5:16" hidden="1" x14ac:dyDescent="0.25">
      <c r="E58" s="43">
        <f>COUNTIF($O$7:O58,FORMULARIO!$AA$2)</f>
        <v>1</v>
      </c>
      <c r="M58" s="46"/>
      <c r="P58" s="16"/>
    </row>
    <row r="59" spans="5:16" hidden="1" x14ac:dyDescent="0.25">
      <c r="E59" s="43">
        <f>COUNTIF($O$7:O59,FORMULARIO!$AA$2)</f>
        <v>1</v>
      </c>
      <c r="M59" s="46"/>
      <c r="P59" s="16"/>
    </row>
    <row r="60" spans="5:16" hidden="1" x14ac:dyDescent="0.25">
      <c r="E60" s="43">
        <f>COUNTIF($O$7:O60,FORMULARIO!$AA$2)</f>
        <v>1</v>
      </c>
      <c r="M60" s="46"/>
      <c r="P60" s="16"/>
    </row>
    <row r="61" spans="5:16" hidden="1" x14ac:dyDescent="0.25">
      <c r="E61" s="43">
        <f>COUNTIF($O$7:O61,FORMULARIO!$AA$2)</f>
        <v>1</v>
      </c>
      <c r="M61" s="46"/>
      <c r="P61" s="16"/>
    </row>
    <row r="62" spans="5:16" hidden="1" x14ac:dyDescent="0.25">
      <c r="E62" s="43">
        <f>COUNTIF($O$7:O62,FORMULARIO!$AA$2)</f>
        <v>1</v>
      </c>
      <c r="M62" s="46"/>
      <c r="P62" s="16"/>
    </row>
    <row r="63" spans="5:16" hidden="1" x14ac:dyDescent="0.25">
      <c r="E63" s="43">
        <f>COUNTIF($O$7:O63,FORMULARIO!$AA$2)</f>
        <v>1</v>
      </c>
      <c r="M63" s="46"/>
      <c r="P63" s="16"/>
    </row>
    <row r="64" spans="5:16" hidden="1" x14ac:dyDescent="0.25">
      <c r="E64" s="43">
        <f>COUNTIF($O$7:O64,FORMULARIO!$AA$2)</f>
        <v>1</v>
      </c>
      <c r="M64" s="46"/>
      <c r="P64" s="16"/>
    </row>
    <row r="65" spans="5:16" hidden="1" x14ac:dyDescent="0.25">
      <c r="E65" s="43">
        <f>COUNTIF($O$7:O65,FORMULARIO!$AA$2)</f>
        <v>1</v>
      </c>
      <c r="M65" s="46"/>
      <c r="P65" s="16"/>
    </row>
    <row r="66" spans="5:16" hidden="1" x14ac:dyDescent="0.25">
      <c r="E66" s="43">
        <f>COUNTIF($O$7:O66,FORMULARIO!$AA$2)</f>
        <v>1</v>
      </c>
      <c r="M66" s="46"/>
      <c r="P66" s="16"/>
    </row>
    <row r="67" spans="5:16" hidden="1" x14ac:dyDescent="0.25">
      <c r="E67" s="43">
        <f>COUNTIF($O$7:O67,FORMULARIO!$AA$2)</f>
        <v>1</v>
      </c>
      <c r="M67" s="46"/>
      <c r="P67" s="16"/>
    </row>
    <row r="68" spans="5:16" hidden="1" x14ac:dyDescent="0.25">
      <c r="E68" s="43">
        <f>COUNTIF($O$7:O68,FORMULARIO!$AA$2)</f>
        <v>1</v>
      </c>
      <c r="M68" s="46"/>
      <c r="P68" s="16"/>
    </row>
    <row r="69" spans="5:16" hidden="1" x14ac:dyDescent="0.25">
      <c r="E69" s="43">
        <f>COUNTIF($O$7:O69,FORMULARIO!$AA$2)</f>
        <v>1</v>
      </c>
      <c r="M69" s="46"/>
      <c r="P69" s="16"/>
    </row>
    <row r="70" spans="5:16" hidden="1" x14ac:dyDescent="0.25">
      <c r="E70" s="43">
        <f>COUNTIF($O$7:O70,FORMULARIO!$AA$2)</f>
        <v>1</v>
      </c>
      <c r="M70" s="46"/>
      <c r="P70" s="16"/>
    </row>
    <row r="71" spans="5:16" hidden="1" x14ac:dyDescent="0.25">
      <c r="E71" s="43">
        <f>COUNTIF($O$7:O71,FORMULARIO!$AA$2)</f>
        <v>1</v>
      </c>
      <c r="M71" s="46"/>
      <c r="P71" s="16"/>
    </row>
    <row r="72" spans="5:16" hidden="1" x14ac:dyDescent="0.25">
      <c r="E72" s="43">
        <f>COUNTIF($O$7:O72,FORMULARIO!$AA$2)</f>
        <v>1</v>
      </c>
      <c r="M72" s="46"/>
      <c r="P72" s="16"/>
    </row>
    <row r="73" spans="5:16" hidden="1" x14ac:dyDescent="0.25">
      <c r="E73" s="43">
        <f>COUNTIF($O$7:O73,FORMULARIO!$AA$2)</f>
        <v>1</v>
      </c>
      <c r="M73" s="46"/>
      <c r="P73" s="16"/>
    </row>
    <row r="74" spans="5:16" hidden="1" x14ac:dyDescent="0.25">
      <c r="E74" s="43">
        <f>COUNTIF($O$7:O74,FORMULARIO!$AA$2)</f>
        <v>1</v>
      </c>
      <c r="M74" s="46"/>
      <c r="P74" s="16"/>
    </row>
    <row r="75" spans="5:16" hidden="1" x14ac:dyDescent="0.25">
      <c r="E75" s="43">
        <f>COUNTIF($O$7:O75,FORMULARIO!$AA$2)</f>
        <v>1</v>
      </c>
      <c r="M75" s="46"/>
      <c r="P75" s="16"/>
    </row>
    <row r="76" spans="5:16" hidden="1" x14ac:dyDescent="0.25">
      <c r="E76" s="43">
        <f>COUNTIF($O$7:O76,FORMULARIO!$AA$2)</f>
        <v>1</v>
      </c>
      <c r="M76" s="46"/>
      <c r="P76" s="16"/>
    </row>
    <row r="77" spans="5:16" hidden="1" x14ac:dyDescent="0.25">
      <c r="E77" s="43">
        <f>COUNTIF($O$7:O77,FORMULARIO!$AA$2)</f>
        <v>1</v>
      </c>
      <c r="M77" s="46"/>
      <c r="P77" s="16"/>
    </row>
    <row r="78" spans="5:16" hidden="1" x14ac:dyDescent="0.25">
      <c r="E78" s="43">
        <f>COUNTIF($O$7:O78,FORMULARIO!$AA$2)</f>
        <v>1</v>
      </c>
      <c r="M78" s="46"/>
      <c r="P78" s="16"/>
    </row>
    <row r="79" spans="5:16" hidden="1" x14ac:dyDescent="0.25">
      <c r="E79" s="43">
        <f>COUNTIF($O$7:O79,FORMULARIO!$AA$2)</f>
        <v>1</v>
      </c>
      <c r="M79" s="46"/>
      <c r="P79" s="16"/>
    </row>
    <row r="80" spans="5:16" hidden="1" x14ac:dyDescent="0.25">
      <c r="E80" s="43">
        <f>COUNTIF($O$7:O80,FORMULARIO!$AA$2)</f>
        <v>1</v>
      </c>
      <c r="M80" s="46"/>
      <c r="P80" s="16"/>
    </row>
    <row r="81" spans="5:16" hidden="1" x14ac:dyDescent="0.25">
      <c r="E81" s="43">
        <f>COUNTIF($O$7:O81,FORMULARIO!$AA$2)</f>
        <v>1</v>
      </c>
      <c r="M81" s="46"/>
      <c r="P81" s="16"/>
    </row>
    <row r="82" spans="5:16" hidden="1" x14ac:dyDescent="0.25">
      <c r="E82" s="43">
        <f>COUNTIF($O$7:O82,FORMULARIO!$AA$2)</f>
        <v>1</v>
      </c>
      <c r="M82" s="46"/>
      <c r="P82" s="16"/>
    </row>
    <row r="83" spans="5:16" hidden="1" x14ac:dyDescent="0.25">
      <c r="E83" s="43">
        <f>COUNTIF($O$7:O83,FORMULARIO!$AA$2)</f>
        <v>1</v>
      </c>
      <c r="M83" s="46"/>
      <c r="P83" s="16"/>
    </row>
    <row r="84" spans="5:16" hidden="1" x14ac:dyDescent="0.25">
      <c r="E84" s="43">
        <f>COUNTIF($O$7:O84,FORMULARIO!$AA$2)</f>
        <v>1</v>
      </c>
      <c r="M84" s="46"/>
      <c r="P84" s="16"/>
    </row>
    <row r="85" spans="5:16" hidden="1" x14ac:dyDescent="0.25">
      <c r="E85" s="43">
        <f>COUNTIF($O$7:O85,FORMULARIO!$AA$2)</f>
        <v>1</v>
      </c>
      <c r="M85" s="46"/>
      <c r="P85" s="16"/>
    </row>
    <row r="86" spans="5:16" hidden="1" x14ac:dyDescent="0.25">
      <c r="E86" s="43">
        <f>COUNTIF($O$7:O86,FORMULARIO!$AA$2)</f>
        <v>1</v>
      </c>
      <c r="M86" s="46"/>
      <c r="P86" s="16"/>
    </row>
    <row r="87" spans="5:16" hidden="1" x14ac:dyDescent="0.25">
      <c r="E87" s="43">
        <f>COUNTIF($O$7:O87,FORMULARIO!$AA$2)</f>
        <v>1</v>
      </c>
      <c r="M87" s="46"/>
      <c r="P87" s="16"/>
    </row>
    <row r="88" spans="5:16" hidden="1" x14ac:dyDescent="0.25">
      <c r="E88" s="43">
        <f>COUNTIF($O$7:O88,FORMULARIO!$AA$2)</f>
        <v>1</v>
      </c>
      <c r="M88" s="46"/>
      <c r="P88" s="16"/>
    </row>
    <row r="89" spans="5:16" hidden="1" x14ac:dyDescent="0.25">
      <c r="E89" s="43">
        <f>COUNTIF($O$7:O89,FORMULARIO!$AA$2)</f>
        <v>1</v>
      </c>
      <c r="M89" s="46"/>
      <c r="P89" s="16"/>
    </row>
    <row r="90" spans="5:16" hidden="1" x14ac:dyDescent="0.25">
      <c r="E90" s="43">
        <f>COUNTIF($O$7:O90,FORMULARIO!$AA$2)</f>
        <v>1</v>
      </c>
      <c r="M90" s="46"/>
      <c r="P90" s="16"/>
    </row>
    <row r="91" spans="5:16" hidden="1" x14ac:dyDescent="0.25">
      <c r="E91" s="43">
        <f>COUNTIF($O$7:O91,FORMULARIO!$AA$2)</f>
        <v>1</v>
      </c>
      <c r="M91" s="46"/>
      <c r="P91" s="16"/>
    </row>
    <row r="92" spans="5:16" hidden="1" x14ac:dyDescent="0.25">
      <c r="E92" s="43">
        <f>COUNTIF($O$7:O92,FORMULARIO!$AA$2)</f>
        <v>1</v>
      </c>
      <c r="M92" s="46"/>
      <c r="P92" s="16"/>
    </row>
    <row r="93" spans="5:16" hidden="1" x14ac:dyDescent="0.25">
      <c r="E93" s="43">
        <f>COUNTIF($O$7:O93,FORMULARIO!$AA$2)</f>
        <v>1</v>
      </c>
      <c r="M93" s="46"/>
      <c r="P93" s="16"/>
    </row>
    <row r="94" spans="5:16" hidden="1" x14ac:dyDescent="0.25">
      <c r="E94" s="43">
        <f>COUNTIF($O$7:O94,FORMULARIO!$AA$2)</f>
        <v>1</v>
      </c>
      <c r="M94" s="46"/>
      <c r="P94" s="16"/>
    </row>
    <row r="95" spans="5:16" hidden="1" x14ac:dyDescent="0.25">
      <c r="E95" s="43">
        <f>COUNTIF($O$7:O95,FORMULARIO!$AA$2)</f>
        <v>1</v>
      </c>
      <c r="M95" s="46"/>
      <c r="P95" s="16"/>
    </row>
    <row r="96" spans="5:16" hidden="1" x14ac:dyDescent="0.25">
      <c r="E96" s="43">
        <f>COUNTIF($O$7:O96,FORMULARIO!$AA$2)</f>
        <v>1</v>
      </c>
      <c r="M96" s="46"/>
      <c r="P96" s="16"/>
    </row>
    <row r="97" spans="5:16" hidden="1" x14ac:dyDescent="0.25">
      <c r="E97" s="43">
        <f>COUNTIF($O$7:O97,FORMULARIO!$AA$2)</f>
        <v>1</v>
      </c>
      <c r="M97" s="46"/>
      <c r="P97" s="16"/>
    </row>
    <row r="98" spans="5:16" hidden="1" x14ac:dyDescent="0.25">
      <c r="E98" s="43">
        <f>COUNTIF($O$7:O98,FORMULARIO!$AA$2)</f>
        <v>1</v>
      </c>
      <c r="M98" s="46"/>
      <c r="P98" s="16"/>
    </row>
    <row r="99" spans="5:16" hidden="1" x14ac:dyDescent="0.25">
      <c r="E99" s="43">
        <f>COUNTIF($O$7:O99,FORMULARIO!$AA$2)</f>
        <v>1</v>
      </c>
      <c r="M99" s="46"/>
      <c r="P99" s="16"/>
    </row>
    <row r="100" spans="5:16" hidden="1" x14ac:dyDescent="0.25">
      <c r="E100" s="43">
        <f>COUNTIF($O$7:O100,FORMULARIO!$AA$2)</f>
        <v>1</v>
      </c>
      <c r="M100" s="46"/>
      <c r="P100" s="16"/>
    </row>
    <row r="101" spans="5:16" hidden="1" x14ac:dyDescent="0.25">
      <c r="E101" s="43">
        <f>COUNTIF($O$7:O101,FORMULARIO!$AA$2)</f>
        <v>1</v>
      </c>
      <c r="M101" s="46"/>
      <c r="P101" s="16"/>
    </row>
    <row r="102" spans="5:16" hidden="1" x14ac:dyDescent="0.25">
      <c r="E102" s="43">
        <f>COUNTIF($O$7:O102,FORMULARIO!$AA$2)</f>
        <v>1</v>
      </c>
      <c r="M102" s="46"/>
      <c r="P102" s="16"/>
    </row>
    <row r="103" spans="5:16" hidden="1" x14ac:dyDescent="0.25">
      <c r="E103" s="43">
        <f>COUNTIF($O$7:O103,FORMULARIO!$AA$2)</f>
        <v>1</v>
      </c>
      <c r="M103" s="46"/>
      <c r="P103" s="16"/>
    </row>
    <row r="104" spans="5:16" hidden="1" x14ac:dyDescent="0.25">
      <c r="E104" s="43">
        <f>COUNTIF($O$7:O104,FORMULARIO!$AA$2)</f>
        <v>1</v>
      </c>
      <c r="M104" s="46"/>
      <c r="P104" s="16"/>
    </row>
    <row r="105" spans="5:16" hidden="1" x14ac:dyDescent="0.25">
      <c r="E105" s="43">
        <f>COUNTIF($O$7:O105,FORMULARIO!$AA$2)</f>
        <v>1</v>
      </c>
      <c r="M105" s="46"/>
      <c r="P105" s="16"/>
    </row>
    <row r="106" spans="5:16" hidden="1" x14ac:dyDescent="0.25">
      <c r="E106" s="43">
        <f>COUNTIF($O$7:O106,FORMULARIO!$AA$2)</f>
        <v>1</v>
      </c>
      <c r="M106" s="46"/>
      <c r="P106" s="16"/>
    </row>
    <row r="107" spans="5:16" hidden="1" x14ac:dyDescent="0.25">
      <c r="E107" s="43">
        <f>COUNTIF($O$7:O107,FORMULARIO!$AA$2)</f>
        <v>1</v>
      </c>
      <c r="M107" s="46"/>
      <c r="P107" s="16"/>
    </row>
    <row r="108" spans="5:16" hidden="1" x14ac:dyDescent="0.25">
      <c r="E108" s="43">
        <f>COUNTIF($O$7:O108,FORMULARIO!$AA$2)</f>
        <v>1</v>
      </c>
      <c r="M108" s="46"/>
      <c r="P108" s="16"/>
    </row>
    <row r="109" spans="5:16" hidden="1" x14ac:dyDescent="0.25">
      <c r="E109" s="43">
        <f>COUNTIF($O$7:O109,FORMULARIO!$AA$2)</f>
        <v>1</v>
      </c>
      <c r="M109" s="46"/>
      <c r="P109" s="16"/>
    </row>
    <row r="110" spans="5:16" hidden="1" x14ac:dyDescent="0.25">
      <c r="E110" s="43">
        <f>COUNTIF($O$7:O110,FORMULARIO!$AA$2)</f>
        <v>1</v>
      </c>
      <c r="M110" s="46"/>
      <c r="P110" s="16"/>
    </row>
    <row r="111" spans="5:16" hidden="1" x14ac:dyDescent="0.25">
      <c r="E111" s="43">
        <f>COUNTIF($O$7:O111,FORMULARIO!$AA$2)</f>
        <v>1</v>
      </c>
      <c r="M111" s="46"/>
      <c r="P111" s="16"/>
    </row>
    <row r="112" spans="5:16" hidden="1" x14ac:dyDescent="0.25">
      <c r="E112" s="43">
        <f>COUNTIF($O$7:O112,FORMULARIO!$AA$2)</f>
        <v>1</v>
      </c>
      <c r="M112" s="46"/>
      <c r="P112" s="16"/>
    </row>
    <row r="113" spans="5:16" hidden="1" x14ac:dyDescent="0.25">
      <c r="E113" s="43">
        <f>COUNTIF($O$7:O113,FORMULARIO!$AA$2)</f>
        <v>1</v>
      </c>
      <c r="M113" s="46"/>
      <c r="P113" s="16"/>
    </row>
    <row r="114" spans="5:16" hidden="1" x14ac:dyDescent="0.25">
      <c r="E114" s="43">
        <f>COUNTIF($O$7:O114,FORMULARIO!$AA$2)</f>
        <v>1</v>
      </c>
      <c r="M114" s="46"/>
      <c r="P114" s="16"/>
    </row>
    <row r="115" spans="5:16" hidden="1" x14ac:dyDescent="0.25">
      <c r="E115" s="43">
        <f>COUNTIF($O$7:O115,FORMULARIO!$AA$2)</f>
        <v>1</v>
      </c>
      <c r="M115" s="46"/>
      <c r="P115" s="16"/>
    </row>
    <row r="116" spans="5:16" hidden="1" x14ac:dyDescent="0.25">
      <c r="E116" s="43">
        <f>COUNTIF($O$7:O116,FORMULARIO!$AA$2)</f>
        <v>1</v>
      </c>
      <c r="M116" s="46"/>
      <c r="P116" s="16"/>
    </row>
    <row r="117" spans="5:16" hidden="1" x14ac:dyDescent="0.25">
      <c r="E117" s="43">
        <f>COUNTIF($O$7:O117,FORMULARIO!$AA$2)</f>
        <v>1</v>
      </c>
      <c r="M117" s="46"/>
      <c r="P117" s="16"/>
    </row>
    <row r="118" spans="5:16" hidden="1" x14ac:dyDescent="0.25">
      <c r="E118" s="43">
        <f>COUNTIF($O$7:O118,FORMULARIO!$AA$2)</f>
        <v>1</v>
      </c>
      <c r="M118" s="46"/>
      <c r="P118" s="16"/>
    </row>
    <row r="119" spans="5:16" hidden="1" x14ac:dyDescent="0.25">
      <c r="E119" s="43">
        <f>COUNTIF($O$7:O119,FORMULARIO!$AA$2)</f>
        <v>1</v>
      </c>
      <c r="M119" s="46"/>
      <c r="P119" s="16"/>
    </row>
    <row r="120" spans="5:16" hidden="1" x14ac:dyDescent="0.25">
      <c r="E120" s="43">
        <f>COUNTIF($O$7:O120,FORMULARIO!$AA$2)</f>
        <v>1</v>
      </c>
      <c r="M120" s="46"/>
      <c r="P120" s="16"/>
    </row>
    <row r="121" spans="5:16" hidden="1" x14ac:dyDescent="0.25">
      <c r="E121" s="43">
        <f>COUNTIF($O$7:O121,FORMULARIO!$AA$2)</f>
        <v>1</v>
      </c>
      <c r="M121" s="46"/>
      <c r="P121" s="16"/>
    </row>
    <row r="122" spans="5:16" hidden="1" x14ac:dyDescent="0.25">
      <c r="E122" s="43">
        <f>COUNTIF($O$7:O122,FORMULARIO!$AA$2)</f>
        <v>1</v>
      </c>
      <c r="M122" s="46"/>
      <c r="P122" s="16"/>
    </row>
    <row r="123" spans="5:16" hidden="1" x14ac:dyDescent="0.25">
      <c r="E123" s="43">
        <f>COUNTIF($O$7:O123,FORMULARIO!$AA$2)</f>
        <v>1</v>
      </c>
      <c r="M123" s="46"/>
      <c r="P123" s="16"/>
    </row>
    <row r="124" spans="5:16" hidden="1" x14ac:dyDescent="0.25">
      <c r="E124" s="43">
        <f>COUNTIF($O$7:O124,FORMULARIO!$AA$2)</f>
        <v>1</v>
      </c>
      <c r="M124" s="46"/>
      <c r="P124" s="16"/>
    </row>
    <row r="125" spans="5:16" hidden="1" x14ac:dyDescent="0.25">
      <c r="E125" s="43">
        <f>COUNTIF($O$7:O125,FORMULARIO!$AA$2)</f>
        <v>1</v>
      </c>
      <c r="M125" s="46"/>
      <c r="P125" s="16"/>
    </row>
    <row r="126" spans="5:16" hidden="1" x14ac:dyDescent="0.25">
      <c r="E126" s="43">
        <f>COUNTIF($O$7:O126,FORMULARIO!$AA$2)</f>
        <v>1</v>
      </c>
      <c r="M126" s="46"/>
      <c r="P126" s="16"/>
    </row>
    <row r="127" spans="5:16" hidden="1" x14ac:dyDescent="0.25">
      <c r="E127" s="43">
        <f>COUNTIF($O$7:O127,FORMULARIO!$AA$2)</f>
        <v>1</v>
      </c>
      <c r="M127" s="46"/>
      <c r="P127" s="16"/>
    </row>
    <row r="128" spans="5:16" hidden="1" x14ac:dyDescent="0.25">
      <c r="E128" s="43">
        <f>COUNTIF($O$7:O128,FORMULARIO!$AA$2)</f>
        <v>1</v>
      </c>
      <c r="M128" s="46"/>
      <c r="P128" s="16"/>
    </row>
    <row r="129" spans="5:16" hidden="1" x14ac:dyDescent="0.25">
      <c r="E129" s="43">
        <f>COUNTIF($O$7:O129,FORMULARIO!$AA$2)</f>
        <v>1</v>
      </c>
      <c r="M129" s="46"/>
      <c r="P129" s="16"/>
    </row>
    <row r="130" spans="5:16" hidden="1" x14ac:dyDescent="0.25">
      <c r="E130" s="43">
        <f>COUNTIF($O$7:O130,FORMULARIO!$AA$2)</f>
        <v>1</v>
      </c>
      <c r="M130" s="46"/>
      <c r="P130" s="16"/>
    </row>
    <row r="131" spans="5:16" hidden="1" x14ac:dyDescent="0.25">
      <c r="E131" s="43">
        <f>COUNTIF($O$7:O131,FORMULARIO!$AA$2)</f>
        <v>1</v>
      </c>
      <c r="M131" s="46"/>
      <c r="P131" s="16"/>
    </row>
    <row r="132" spans="5:16" hidden="1" x14ac:dyDescent="0.25">
      <c r="E132" s="43">
        <f>COUNTIF($O$7:O132,FORMULARIO!$AA$2)</f>
        <v>1</v>
      </c>
      <c r="M132" s="46"/>
      <c r="P132" s="16"/>
    </row>
    <row r="133" spans="5:16" hidden="1" x14ac:dyDescent="0.25">
      <c r="E133" s="43">
        <f>COUNTIF($O$7:O133,FORMULARIO!$AA$2)</f>
        <v>1</v>
      </c>
      <c r="M133" s="46"/>
      <c r="P133" s="16"/>
    </row>
    <row r="134" spans="5:16" hidden="1" x14ac:dyDescent="0.25">
      <c r="E134" s="43">
        <f>COUNTIF($O$7:O134,FORMULARIO!$AA$2)</f>
        <v>1</v>
      </c>
      <c r="M134" s="46"/>
      <c r="P134" s="16"/>
    </row>
    <row r="135" spans="5:16" hidden="1" x14ac:dyDescent="0.25">
      <c r="E135" s="43">
        <f>COUNTIF($O$7:O135,FORMULARIO!$AA$2)</f>
        <v>1</v>
      </c>
      <c r="M135" s="46"/>
      <c r="P135" s="16"/>
    </row>
    <row r="136" spans="5:16" hidden="1" x14ac:dyDescent="0.25">
      <c r="E136" s="43">
        <f>COUNTIF($O$7:O136,FORMULARIO!$AA$2)</f>
        <v>1</v>
      </c>
      <c r="M136" s="46"/>
      <c r="P136" s="16"/>
    </row>
    <row r="137" spans="5:16" hidden="1" x14ac:dyDescent="0.25">
      <c r="E137" s="43">
        <f>COUNTIF($O$7:O137,FORMULARIO!$AA$2)</f>
        <v>1</v>
      </c>
      <c r="M137" s="46"/>
      <c r="P137" s="16"/>
    </row>
    <row r="138" spans="5:16" hidden="1" x14ac:dyDescent="0.25">
      <c r="E138" s="43">
        <f>COUNTIF($O$7:O138,FORMULARIO!$AA$2)</f>
        <v>1</v>
      </c>
      <c r="M138" s="46"/>
      <c r="P138" s="16"/>
    </row>
    <row r="139" spans="5:16" hidden="1" x14ac:dyDescent="0.25">
      <c r="E139" s="43">
        <f>COUNTIF($O$7:O139,FORMULARIO!$AA$2)</f>
        <v>1</v>
      </c>
      <c r="M139" s="46"/>
      <c r="P139" s="16"/>
    </row>
    <row r="140" spans="5:16" hidden="1" x14ac:dyDescent="0.25">
      <c r="E140" s="43">
        <f>COUNTIF($O$7:O140,FORMULARIO!$AA$2)</f>
        <v>1</v>
      </c>
      <c r="M140" s="46"/>
      <c r="P140" s="16"/>
    </row>
    <row r="141" spans="5:16" hidden="1" x14ac:dyDescent="0.25">
      <c r="E141" s="43">
        <f>COUNTIF($O$7:O141,FORMULARIO!$AA$2)</f>
        <v>1</v>
      </c>
      <c r="M141" s="46"/>
      <c r="P141" s="16"/>
    </row>
    <row r="142" spans="5:16" hidden="1" x14ac:dyDescent="0.25">
      <c r="E142" s="43">
        <f>COUNTIF($O$7:O142,FORMULARIO!$AA$2)</f>
        <v>1</v>
      </c>
      <c r="M142" s="46"/>
      <c r="P142" s="16"/>
    </row>
    <row r="143" spans="5:16" hidden="1" x14ac:dyDescent="0.25">
      <c r="E143" s="43">
        <f>COUNTIF($O$7:O143,FORMULARIO!$AA$2)</f>
        <v>1</v>
      </c>
      <c r="M143" s="46"/>
      <c r="P143" s="16"/>
    </row>
    <row r="144" spans="5:16" hidden="1" x14ac:dyDescent="0.25">
      <c r="E144" s="43">
        <f>COUNTIF($O$7:O144,FORMULARIO!$AA$2)</f>
        <v>1</v>
      </c>
      <c r="M144" s="46"/>
      <c r="P144" s="16"/>
    </row>
    <row r="145" spans="5:16" hidden="1" x14ac:dyDescent="0.25">
      <c r="E145" s="43">
        <f>COUNTIF($O$7:O145,FORMULARIO!$AA$2)</f>
        <v>1</v>
      </c>
      <c r="M145" s="46"/>
      <c r="P145" s="16"/>
    </row>
    <row r="146" spans="5:16" hidden="1" x14ac:dyDescent="0.25">
      <c r="E146" s="43">
        <f>COUNTIF($O$7:O146,FORMULARIO!$AA$2)</f>
        <v>1</v>
      </c>
      <c r="M146" s="46"/>
      <c r="P146" s="16"/>
    </row>
    <row r="147" spans="5:16" hidden="1" x14ac:dyDescent="0.25">
      <c r="E147" s="43">
        <f>COUNTIF($O$7:O147,FORMULARIO!$AA$2)</f>
        <v>1</v>
      </c>
      <c r="M147" s="46"/>
      <c r="P147" s="16"/>
    </row>
    <row r="148" spans="5:16" hidden="1" x14ac:dyDescent="0.25">
      <c r="E148" s="43">
        <f>COUNTIF($O$7:O148,FORMULARIO!$AA$2)</f>
        <v>1</v>
      </c>
      <c r="M148" s="46"/>
      <c r="P148" s="16"/>
    </row>
    <row r="149" spans="5:16" hidden="1" x14ac:dyDescent="0.25">
      <c r="E149" s="43">
        <f>COUNTIF($O$7:O149,FORMULARIO!$AA$2)</f>
        <v>1</v>
      </c>
      <c r="M149" s="46"/>
      <c r="P149" s="16"/>
    </row>
    <row r="150" spans="5:16" hidden="1" x14ac:dyDescent="0.25">
      <c r="E150" s="43">
        <f>COUNTIF($O$7:O150,FORMULARIO!$AA$2)</f>
        <v>1</v>
      </c>
      <c r="M150" s="46"/>
      <c r="P150" s="16"/>
    </row>
    <row r="151" spans="5:16" hidden="1" x14ac:dyDescent="0.25">
      <c r="E151" s="43">
        <f>COUNTIF($O$7:O151,FORMULARIO!$AA$2)</f>
        <v>1</v>
      </c>
      <c r="M151" s="46"/>
      <c r="P151" s="16"/>
    </row>
    <row r="152" spans="5:16" hidden="1" x14ac:dyDescent="0.25">
      <c r="E152" s="43">
        <f>COUNTIF($O$7:O152,FORMULARIO!$AA$2)</f>
        <v>1</v>
      </c>
      <c r="M152" s="46"/>
      <c r="P152" s="16"/>
    </row>
    <row r="153" spans="5:16" hidden="1" x14ac:dyDescent="0.25">
      <c r="E153" s="43">
        <f>COUNTIF($O$7:O153,FORMULARIO!$AA$2)</f>
        <v>1</v>
      </c>
      <c r="M153" s="46"/>
      <c r="P153" s="16"/>
    </row>
    <row r="154" spans="5:16" hidden="1" x14ac:dyDescent="0.25">
      <c r="E154" s="43">
        <f>COUNTIF($O$7:O154,FORMULARIO!$AA$2)</f>
        <v>1</v>
      </c>
      <c r="M154" s="46"/>
      <c r="P154" s="16"/>
    </row>
    <row r="155" spans="5:16" hidden="1" x14ac:dyDescent="0.25">
      <c r="E155" s="43">
        <f>COUNTIF($O$7:O155,FORMULARIO!$AA$2)</f>
        <v>1</v>
      </c>
      <c r="M155" s="46"/>
      <c r="P155" s="16"/>
    </row>
    <row r="156" spans="5:16" hidden="1" x14ac:dyDescent="0.25">
      <c r="E156" s="43">
        <f>COUNTIF($O$7:O156,FORMULARIO!$AA$2)</f>
        <v>1</v>
      </c>
      <c r="M156" s="46"/>
      <c r="P156" s="16"/>
    </row>
    <row r="157" spans="5:16" hidden="1" x14ac:dyDescent="0.25">
      <c r="E157" s="43">
        <f>COUNTIF($O$7:O157,FORMULARIO!$AA$2)</f>
        <v>1</v>
      </c>
      <c r="M157" s="46"/>
      <c r="P157" s="16"/>
    </row>
    <row r="158" spans="5:16" hidden="1" x14ac:dyDescent="0.25">
      <c r="E158" s="43">
        <f>COUNTIF($O$7:O158,FORMULARIO!$AA$2)</f>
        <v>1</v>
      </c>
      <c r="M158" s="46"/>
      <c r="P158" s="16"/>
    </row>
    <row r="159" spans="5:16" hidden="1" x14ac:dyDescent="0.25">
      <c r="E159" s="43">
        <f>COUNTIF($O$7:O159,FORMULARIO!$AA$2)</f>
        <v>1</v>
      </c>
      <c r="M159" s="46"/>
      <c r="P159" s="16"/>
    </row>
    <row r="160" spans="5:16" hidden="1" x14ac:dyDescent="0.25">
      <c r="E160" s="43">
        <f>COUNTIF($O$7:O160,FORMULARIO!$AA$2)</f>
        <v>1</v>
      </c>
      <c r="M160" s="46"/>
      <c r="P160" s="16"/>
    </row>
    <row r="161" spans="5:16" hidden="1" x14ac:dyDescent="0.25">
      <c r="E161" s="43">
        <f>COUNTIF($O$7:O161,FORMULARIO!$AA$2)</f>
        <v>1</v>
      </c>
      <c r="M161" s="46"/>
      <c r="P161" s="16"/>
    </row>
    <row r="162" spans="5:16" hidden="1" x14ac:dyDescent="0.25">
      <c r="E162" s="43">
        <f>COUNTIF($O$7:O162,FORMULARIO!$AA$2)</f>
        <v>1</v>
      </c>
      <c r="M162" s="46"/>
      <c r="P162" s="16"/>
    </row>
    <row r="163" spans="5:16" hidden="1" x14ac:dyDescent="0.25">
      <c r="E163" s="43">
        <f>COUNTIF($O$7:O163,FORMULARIO!$AA$2)</f>
        <v>1</v>
      </c>
      <c r="M163" s="46"/>
      <c r="P163" s="16"/>
    </row>
    <row r="164" spans="5:16" hidden="1" x14ac:dyDescent="0.25">
      <c r="E164" s="43">
        <f>COUNTIF($O$7:O164,FORMULARIO!$AA$2)</f>
        <v>1</v>
      </c>
      <c r="M164" s="46"/>
      <c r="P164" s="16"/>
    </row>
    <row r="165" spans="5:16" hidden="1" x14ac:dyDescent="0.25">
      <c r="E165" s="43">
        <f>COUNTIF($O$7:O165,FORMULARIO!$AA$2)</f>
        <v>1</v>
      </c>
      <c r="M165" s="46"/>
      <c r="P165" s="16"/>
    </row>
    <row r="166" spans="5:16" hidden="1" x14ac:dyDescent="0.25">
      <c r="E166" s="43">
        <f>COUNTIF($O$7:O166,FORMULARIO!$AA$2)</f>
        <v>1</v>
      </c>
      <c r="M166" s="46"/>
      <c r="P166" s="16"/>
    </row>
    <row r="167" spans="5:16" hidden="1" x14ac:dyDescent="0.25">
      <c r="E167" s="43">
        <f>COUNTIF($O$7:O167,FORMULARIO!$AA$2)</f>
        <v>1</v>
      </c>
      <c r="M167" s="46"/>
      <c r="P167" s="16"/>
    </row>
    <row r="168" spans="5:16" hidden="1" x14ac:dyDescent="0.25">
      <c r="E168" s="43">
        <f>COUNTIF($O$7:O168,FORMULARIO!$AA$2)</f>
        <v>1</v>
      </c>
      <c r="M168" s="46"/>
      <c r="P168" s="16"/>
    </row>
    <row r="169" spans="5:16" hidden="1" x14ac:dyDescent="0.25">
      <c r="E169" s="43">
        <f>COUNTIF($O$7:O169,FORMULARIO!$AA$2)</f>
        <v>1</v>
      </c>
      <c r="M169" s="46"/>
      <c r="P169" s="16"/>
    </row>
    <row r="170" spans="5:16" hidden="1" x14ac:dyDescent="0.25">
      <c r="E170" s="43">
        <f>COUNTIF($O$7:O170,FORMULARIO!$AA$2)</f>
        <v>1</v>
      </c>
      <c r="M170" s="46"/>
      <c r="P170" s="16"/>
    </row>
    <row r="171" spans="5:16" hidden="1" x14ac:dyDescent="0.25">
      <c r="E171" s="43">
        <f>COUNTIF($O$7:O171,FORMULARIO!$AA$2)</f>
        <v>1</v>
      </c>
      <c r="M171" s="46"/>
      <c r="P171" s="16"/>
    </row>
    <row r="172" spans="5:16" hidden="1" x14ac:dyDescent="0.25">
      <c r="E172" s="43">
        <f>COUNTIF($O$7:O172,FORMULARIO!$AA$2)</f>
        <v>1</v>
      </c>
      <c r="M172" s="46"/>
      <c r="P172" s="16"/>
    </row>
    <row r="173" spans="5:16" hidden="1" x14ac:dyDescent="0.25">
      <c r="E173" s="43">
        <f>COUNTIF($O$7:O173,FORMULARIO!$AA$2)</f>
        <v>1</v>
      </c>
      <c r="M173" s="46"/>
      <c r="P173" s="16"/>
    </row>
    <row r="174" spans="5:16" hidden="1" x14ac:dyDescent="0.25">
      <c r="E174" s="43">
        <f>COUNTIF($O$7:O174,FORMULARIO!$AA$2)</f>
        <v>1</v>
      </c>
      <c r="M174" s="46"/>
      <c r="P174" s="16"/>
    </row>
    <row r="175" spans="5:16" hidden="1" x14ac:dyDescent="0.25">
      <c r="E175" s="43">
        <f>COUNTIF($O$7:O175,FORMULARIO!$AA$2)</f>
        <v>1</v>
      </c>
      <c r="M175" s="46"/>
      <c r="P175" s="16"/>
    </row>
    <row r="176" spans="5:16" hidden="1" x14ac:dyDescent="0.25">
      <c r="E176" s="43">
        <f>COUNTIF($O$7:O176,FORMULARIO!$AA$2)</f>
        <v>1</v>
      </c>
      <c r="M176" s="46"/>
      <c r="P176" s="16"/>
    </row>
    <row r="177" spans="5:16" hidden="1" x14ac:dyDescent="0.25">
      <c r="E177" s="43">
        <f>COUNTIF($O$7:O177,FORMULARIO!$AA$2)</f>
        <v>1</v>
      </c>
      <c r="M177" s="46"/>
      <c r="P177" s="16"/>
    </row>
    <row r="178" spans="5:16" hidden="1" x14ac:dyDescent="0.25">
      <c r="E178" s="43">
        <f>COUNTIF($O$7:O178,FORMULARIO!$AA$2)</f>
        <v>1</v>
      </c>
      <c r="M178" s="46"/>
      <c r="P178" s="16"/>
    </row>
    <row r="179" spans="5:16" hidden="1" x14ac:dyDescent="0.25">
      <c r="E179" s="43">
        <f>COUNTIF($O$7:O179,FORMULARIO!$AA$2)</f>
        <v>1</v>
      </c>
      <c r="M179" s="46"/>
      <c r="P179" s="16"/>
    </row>
    <row r="180" spans="5:16" hidden="1" x14ac:dyDescent="0.25">
      <c r="E180" s="43">
        <f>COUNTIF($O$7:O180,FORMULARIO!$AA$2)</f>
        <v>1</v>
      </c>
      <c r="M180" s="46"/>
      <c r="P180" s="16"/>
    </row>
    <row r="181" spans="5:16" hidden="1" x14ac:dyDescent="0.25">
      <c r="E181" s="43">
        <f>COUNTIF($O$7:O181,FORMULARIO!$AA$2)</f>
        <v>1</v>
      </c>
      <c r="M181" s="46"/>
      <c r="P181" s="16"/>
    </row>
    <row r="182" spans="5:16" hidden="1" x14ac:dyDescent="0.25">
      <c r="E182" s="43">
        <f>COUNTIF($O$7:O182,FORMULARIO!$AA$2)</f>
        <v>1</v>
      </c>
      <c r="M182" s="46"/>
      <c r="P182" s="16"/>
    </row>
    <row r="183" spans="5:16" hidden="1" x14ac:dyDescent="0.25">
      <c r="E183" s="43">
        <f>COUNTIF($O$7:O183,FORMULARIO!$AA$2)</f>
        <v>1</v>
      </c>
      <c r="M183" s="46"/>
      <c r="P183" s="16"/>
    </row>
    <row r="184" spans="5:16" hidden="1" x14ac:dyDescent="0.25">
      <c r="E184" s="43">
        <f>COUNTIF($O$7:O184,FORMULARIO!$AA$2)</f>
        <v>1</v>
      </c>
      <c r="M184" s="46"/>
      <c r="P184" s="16"/>
    </row>
    <row r="185" spans="5:16" hidden="1" x14ac:dyDescent="0.25">
      <c r="E185" s="43">
        <f>COUNTIF($O$7:O185,FORMULARIO!$AA$2)</f>
        <v>1</v>
      </c>
      <c r="M185" s="46"/>
      <c r="P185" s="16"/>
    </row>
    <row r="186" spans="5:16" hidden="1" x14ac:dyDescent="0.25">
      <c r="E186" s="43">
        <f>COUNTIF($O$7:O186,FORMULARIO!$AA$2)</f>
        <v>1</v>
      </c>
      <c r="M186" s="46"/>
      <c r="P186" s="16"/>
    </row>
    <row r="187" spans="5:16" hidden="1" x14ac:dyDescent="0.25">
      <c r="E187" s="43">
        <f>COUNTIF($O$7:O187,FORMULARIO!$AA$2)</f>
        <v>1</v>
      </c>
      <c r="M187" s="46"/>
      <c r="P187" s="16"/>
    </row>
    <row r="188" spans="5:16" hidden="1" x14ac:dyDescent="0.25">
      <c r="E188" s="43">
        <f>COUNTIF($O$7:O188,FORMULARIO!$AA$2)</f>
        <v>1</v>
      </c>
      <c r="M188" s="46"/>
      <c r="P188" s="16"/>
    </row>
    <row r="189" spans="5:16" hidden="1" x14ac:dyDescent="0.25">
      <c r="E189" s="43">
        <f>COUNTIF($O$7:O189,FORMULARIO!$AA$2)</f>
        <v>1</v>
      </c>
      <c r="M189" s="46"/>
      <c r="P189" s="16"/>
    </row>
    <row r="190" spans="5:16" hidden="1" x14ac:dyDescent="0.25">
      <c r="E190" s="43">
        <f>COUNTIF($O$7:O190,FORMULARIO!$AA$2)</f>
        <v>1</v>
      </c>
      <c r="M190" s="46"/>
      <c r="P190" s="16"/>
    </row>
    <row r="191" spans="5:16" hidden="1" x14ac:dyDescent="0.25">
      <c r="E191" s="43">
        <f>COUNTIF($O$7:O191,FORMULARIO!$AA$2)</f>
        <v>1</v>
      </c>
      <c r="M191" s="46"/>
      <c r="P191" s="16"/>
    </row>
    <row r="192" spans="5:16" hidden="1" x14ac:dyDescent="0.25">
      <c r="E192" s="43">
        <f>COUNTIF($O$7:O192,FORMULARIO!$AA$2)</f>
        <v>1</v>
      </c>
      <c r="M192" s="46"/>
      <c r="P192" s="16"/>
    </row>
    <row r="193" spans="5:16" hidden="1" x14ac:dyDescent="0.25">
      <c r="E193" s="43">
        <f>COUNTIF($O$7:O193,FORMULARIO!$AA$2)</f>
        <v>1</v>
      </c>
      <c r="M193" s="46"/>
      <c r="P193" s="16"/>
    </row>
    <row r="194" spans="5:16" hidden="1" x14ac:dyDescent="0.25">
      <c r="E194" s="43">
        <f>COUNTIF($O$7:O194,FORMULARIO!$AA$2)</f>
        <v>1</v>
      </c>
      <c r="M194" s="46"/>
      <c r="P194" s="16"/>
    </row>
    <row r="195" spans="5:16" hidden="1" x14ac:dyDescent="0.25">
      <c r="E195" s="43">
        <f>COUNTIF($O$7:O195,FORMULARIO!$AA$2)</f>
        <v>1</v>
      </c>
      <c r="M195" s="46"/>
      <c r="P195" s="16"/>
    </row>
    <row r="196" spans="5:16" hidden="1" x14ac:dyDescent="0.25">
      <c r="E196" s="43">
        <f>COUNTIF($O$7:O196,FORMULARIO!$AA$2)</f>
        <v>1</v>
      </c>
      <c r="M196" s="46"/>
      <c r="P196" s="16"/>
    </row>
    <row r="197" spans="5:16" hidden="1" x14ac:dyDescent="0.25">
      <c r="E197" s="43">
        <f>COUNTIF($O$7:O197,FORMULARIO!$AA$2)</f>
        <v>1</v>
      </c>
      <c r="M197" s="46"/>
      <c r="P197" s="16"/>
    </row>
    <row r="198" spans="5:16" hidden="1" x14ac:dyDescent="0.25">
      <c r="E198" s="43">
        <f>COUNTIF($O$7:O198,FORMULARIO!$AA$2)</f>
        <v>1</v>
      </c>
      <c r="M198" s="46"/>
      <c r="P198" s="16"/>
    </row>
    <row r="199" spans="5:16" hidden="1" x14ac:dyDescent="0.25">
      <c r="E199" s="43">
        <f>COUNTIF($O$7:O199,FORMULARIO!$AA$2)</f>
        <v>1</v>
      </c>
      <c r="M199" s="46"/>
      <c r="P199" s="16"/>
    </row>
    <row r="200" spans="5:16" hidden="1" x14ac:dyDescent="0.25">
      <c r="E200" s="43">
        <f>COUNTIF($O$7:O200,FORMULARIO!$AA$2)</f>
        <v>1</v>
      </c>
      <c r="M200" s="46"/>
      <c r="P200" s="16"/>
    </row>
    <row r="201" spans="5:16" hidden="1" x14ac:dyDescent="0.25">
      <c r="E201" s="43">
        <f>COUNTIF($O$7:O201,FORMULARIO!$AA$2)</f>
        <v>1</v>
      </c>
      <c r="M201" s="46"/>
      <c r="P201" s="16"/>
    </row>
    <row r="202" spans="5:16" hidden="1" x14ac:dyDescent="0.25">
      <c r="E202" s="43">
        <f>COUNTIF($O$7:O202,FORMULARIO!$AA$2)</f>
        <v>1</v>
      </c>
      <c r="M202" s="46"/>
      <c r="P202" s="16"/>
    </row>
    <row r="203" spans="5:16" hidden="1" x14ac:dyDescent="0.25">
      <c r="E203" s="43">
        <f>COUNTIF($O$7:O203,FORMULARIO!$AA$2)</f>
        <v>1</v>
      </c>
      <c r="M203" s="46"/>
      <c r="P203" s="16"/>
    </row>
    <row r="204" spans="5:16" hidden="1" x14ac:dyDescent="0.25">
      <c r="E204" s="43">
        <f>COUNTIF($O$7:O204,FORMULARIO!$AA$2)</f>
        <v>1</v>
      </c>
      <c r="M204" s="46"/>
      <c r="P204" s="16"/>
    </row>
    <row r="205" spans="5:16" hidden="1" x14ac:dyDescent="0.25">
      <c r="E205" s="43">
        <f>COUNTIF($O$7:O205,FORMULARIO!$AA$2)</f>
        <v>1</v>
      </c>
      <c r="M205" s="46"/>
      <c r="P205" s="16"/>
    </row>
    <row r="206" spans="5:16" hidden="1" x14ac:dyDescent="0.25">
      <c r="E206" s="43">
        <f>COUNTIF($O$7:O206,FORMULARIO!$AA$2)</f>
        <v>1</v>
      </c>
      <c r="M206" s="46"/>
      <c r="P206" s="16"/>
    </row>
    <row r="207" spans="5:16" hidden="1" x14ac:dyDescent="0.25">
      <c r="E207" s="43">
        <f>COUNTIF($O$7:O207,FORMULARIO!$AA$2)</f>
        <v>1</v>
      </c>
      <c r="M207" s="46"/>
      <c r="P207" s="16"/>
    </row>
    <row r="208" spans="5:16" hidden="1" x14ac:dyDescent="0.25">
      <c r="E208" s="43">
        <f>COUNTIF($O$7:O208,FORMULARIO!$AA$2)</f>
        <v>1</v>
      </c>
      <c r="M208" s="46"/>
      <c r="P208" s="16"/>
    </row>
    <row r="209" spans="5:16" hidden="1" x14ac:dyDescent="0.25">
      <c r="E209" s="43">
        <f>COUNTIF($O$7:O209,FORMULARIO!$AA$2)</f>
        <v>1</v>
      </c>
      <c r="M209" s="46"/>
      <c r="P209" s="16"/>
    </row>
    <row r="210" spans="5:16" hidden="1" x14ac:dyDescent="0.25">
      <c r="E210" s="43">
        <f>COUNTIF($O$7:O210,FORMULARIO!$AA$2)</f>
        <v>1</v>
      </c>
      <c r="M210" s="46"/>
      <c r="P210" s="16"/>
    </row>
    <row r="211" spans="5:16" hidden="1" x14ac:dyDescent="0.25">
      <c r="E211" s="43">
        <f>COUNTIF($O$7:O211,FORMULARIO!$AA$2)</f>
        <v>1</v>
      </c>
      <c r="M211" s="46"/>
      <c r="P211" s="16"/>
    </row>
    <row r="212" spans="5:16" hidden="1" x14ac:dyDescent="0.25">
      <c r="E212" s="43">
        <f>COUNTIF($O$7:O212,FORMULARIO!$AA$2)</f>
        <v>1</v>
      </c>
      <c r="M212" s="46"/>
      <c r="P212" s="16"/>
    </row>
    <row r="213" spans="5:16" hidden="1" x14ac:dyDescent="0.25">
      <c r="E213" s="43">
        <f>COUNTIF($O$7:O213,FORMULARIO!$AA$2)</f>
        <v>1</v>
      </c>
      <c r="M213" s="46"/>
      <c r="P213" s="16"/>
    </row>
    <row r="214" spans="5:16" hidden="1" x14ac:dyDescent="0.25">
      <c r="E214" s="43">
        <f>COUNTIF($O$7:O214,FORMULARIO!$AA$2)</f>
        <v>1</v>
      </c>
      <c r="M214" s="46"/>
      <c r="P214" s="16"/>
    </row>
    <row r="215" spans="5:16" hidden="1" x14ac:dyDescent="0.25">
      <c r="E215" s="43">
        <f>COUNTIF($O$7:O215,FORMULARIO!$AA$2)</f>
        <v>1</v>
      </c>
      <c r="M215" s="46"/>
      <c r="P215" s="16"/>
    </row>
    <row r="216" spans="5:16" hidden="1" x14ac:dyDescent="0.25">
      <c r="E216" s="43">
        <f>COUNTIF($O$7:O216,FORMULARIO!$AA$2)</f>
        <v>1</v>
      </c>
      <c r="M216" s="46"/>
      <c r="P216" s="16"/>
    </row>
    <row r="217" spans="5:16" hidden="1" x14ac:dyDescent="0.25">
      <c r="E217" s="43">
        <f>COUNTIF($O$7:O217,FORMULARIO!$AA$2)</f>
        <v>1</v>
      </c>
      <c r="M217" s="46"/>
      <c r="P217" s="16"/>
    </row>
    <row r="218" spans="5:16" hidden="1" x14ac:dyDescent="0.25">
      <c r="E218" s="43">
        <f>COUNTIF($O$7:O218,FORMULARIO!$AA$2)</f>
        <v>1</v>
      </c>
      <c r="M218" s="46"/>
      <c r="P218" s="16"/>
    </row>
    <row r="219" spans="5:16" hidden="1" x14ac:dyDescent="0.25">
      <c r="E219" s="43">
        <f>COUNTIF($O$7:O219,FORMULARIO!$AA$2)</f>
        <v>1</v>
      </c>
      <c r="M219" s="46"/>
      <c r="P219" s="16"/>
    </row>
    <row r="220" spans="5:16" hidden="1" x14ac:dyDescent="0.25">
      <c r="E220" s="43">
        <f>COUNTIF($O$7:O220,FORMULARIO!$AA$2)</f>
        <v>1</v>
      </c>
      <c r="M220" s="46"/>
      <c r="P220" s="16"/>
    </row>
    <row r="221" spans="5:16" hidden="1" x14ac:dyDescent="0.25">
      <c r="E221" s="43">
        <f>COUNTIF($O$7:O221,FORMULARIO!$AA$2)</f>
        <v>1</v>
      </c>
      <c r="M221" s="46"/>
      <c r="P221" s="16"/>
    </row>
    <row r="222" spans="5:16" hidden="1" x14ac:dyDescent="0.25">
      <c r="E222" s="43">
        <f>COUNTIF($O$7:O222,FORMULARIO!$AA$2)</f>
        <v>1</v>
      </c>
      <c r="M222" s="46"/>
      <c r="P222" s="16"/>
    </row>
    <row r="223" spans="5:16" hidden="1" x14ac:dyDescent="0.25">
      <c r="E223" s="43">
        <f>COUNTIF($O$7:O223,FORMULARIO!$AA$2)</f>
        <v>1</v>
      </c>
      <c r="M223" s="46"/>
      <c r="P223" s="16"/>
    </row>
    <row r="224" spans="5:16" hidden="1" x14ac:dyDescent="0.25">
      <c r="E224" s="43">
        <f>COUNTIF($O$7:O224,FORMULARIO!$AA$2)</f>
        <v>1</v>
      </c>
      <c r="M224" s="46"/>
      <c r="P224" s="16"/>
    </row>
    <row r="225" spans="5:16" hidden="1" x14ac:dyDescent="0.25">
      <c r="E225" s="43">
        <f>COUNTIF($O$7:O225,FORMULARIO!$AA$2)</f>
        <v>1</v>
      </c>
      <c r="M225" s="46"/>
      <c r="P225" s="16"/>
    </row>
    <row r="226" spans="5:16" hidden="1" x14ac:dyDescent="0.25">
      <c r="E226" s="43">
        <f>COUNTIF($O$7:O226,FORMULARIO!$AA$2)</f>
        <v>1</v>
      </c>
      <c r="M226" s="46"/>
      <c r="P226" s="16"/>
    </row>
    <row r="227" spans="5:16" hidden="1" x14ac:dyDescent="0.25">
      <c r="E227" s="43">
        <f>COUNTIF($O$7:O227,FORMULARIO!$AA$2)</f>
        <v>1</v>
      </c>
      <c r="M227" s="46"/>
      <c r="P227" s="16"/>
    </row>
    <row r="228" spans="5:16" hidden="1" x14ac:dyDescent="0.25">
      <c r="E228" s="43">
        <f>COUNTIF($O$7:O228,FORMULARIO!$AA$2)</f>
        <v>1</v>
      </c>
      <c r="M228" s="46"/>
      <c r="P228" s="16"/>
    </row>
    <row r="229" spans="5:16" hidden="1" x14ac:dyDescent="0.25">
      <c r="E229" s="43">
        <f>COUNTIF($O$7:O229,FORMULARIO!$AA$2)</f>
        <v>1</v>
      </c>
      <c r="M229" s="46"/>
      <c r="P229" s="16"/>
    </row>
    <row r="230" spans="5:16" hidden="1" x14ac:dyDescent="0.25">
      <c r="E230" s="43">
        <f>COUNTIF($O$7:O230,FORMULARIO!$AA$2)</f>
        <v>1</v>
      </c>
      <c r="M230" s="46"/>
      <c r="P230" s="16"/>
    </row>
    <row r="231" spans="5:16" hidden="1" x14ac:dyDescent="0.25">
      <c r="E231" s="43">
        <f>COUNTIF($O$7:O231,FORMULARIO!$AA$2)</f>
        <v>1</v>
      </c>
      <c r="M231" s="46"/>
      <c r="P231" s="16"/>
    </row>
    <row r="232" spans="5:16" hidden="1" x14ac:dyDescent="0.25">
      <c r="E232" s="43">
        <f>COUNTIF($O$7:O232,FORMULARIO!$AA$2)</f>
        <v>1</v>
      </c>
      <c r="M232" s="46"/>
      <c r="P232" s="16"/>
    </row>
    <row r="233" spans="5:16" hidden="1" x14ac:dyDescent="0.25">
      <c r="E233" s="43">
        <f>COUNTIF($O$7:O233,FORMULARIO!$AA$2)</f>
        <v>1</v>
      </c>
      <c r="M233" s="46"/>
      <c r="P233" s="16"/>
    </row>
    <row r="234" spans="5:16" hidden="1" x14ac:dyDescent="0.25">
      <c r="E234" s="43">
        <f>COUNTIF($O$7:O234,FORMULARIO!$AA$2)</f>
        <v>1</v>
      </c>
      <c r="M234" s="46"/>
      <c r="P234" s="16"/>
    </row>
    <row r="235" spans="5:16" hidden="1" x14ac:dyDescent="0.25">
      <c r="E235" s="43">
        <f>COUNTIF($O$7:O235,FORMULARIO!$AA$2)</f>
        <v>1</v>
      </c>
      <c r="M235" s="46"/>
      <c r="P235" s="16"/>
    </row>
    <row r="236" spans="5:16" hidden="1" x14ac:dyDescent="0.25">
      <c r="E236" s="43">
        <f>COUNTIF($O$7:O236,FORMULARIO!$AA$2)</f>
        <v>1</v>
      </c>
      <c r="M236" s="46"/>
      <c r="P236" s="16"/>
    </row>
    <row r="237" spans="5:16" hidden="1" x14ac:dyDescent="0.25">
      <c r="E237" s="43">
        <f>COUNTIF($O$7:O237,FORMULARIO!$AA$2)</f>
        <v>1</v>
      </c>
      <c r="M237" s="46"/>
      <c r="P237" s="16"/>
    </row>
    <row r="238" spans="5:16" hidden="1" x14ac:dyDescent="0.25">
      <c r="E238" s="43">
        <f>COUNTIF($O$7:O238,FORMULARIO!$AA$2)</f>
        <v>1</v>
      </c>
      <c r="M238" s="46"/>
      <c r="P238" s="16"/>
    </row>
    <row r="239" spans="5:16" hidden="1" x14ac:dyDescent="0.25">
      <c r="E239" s="43">
        <f>COUNTIF($O$7:O239,FORMULARIO!$AA$2)</f>
        <v>1</v>
      </c>
      <c r="M239" s="46"/>
      <c r="P239" s="16"/>
    </row>
    <row r="240" spans="5:16" hidden="1" x14ac:dyDescent="0.25">
      <c r="E240" s="43">
        <f>COUNTIF($O$7:O240,FORMULARIO!$AA$2)</f>
        <v>1</v>
      </c>
      <c r="M240" s="46"/>
      <c r="P240" s="16"/>
    </row>
    <row r="241" spans="5:16" hidden="1" x14ac:dyDescent="0.25">
      <c r="E241" s="43">
        <f>COUNTIF($O$7:O241,FORMULARIO!$AA$2)</f>
        <v>1</v>
      </c>
      <c r="M241" s="46"/>
      <c r="P241" s="16"/>
    </row>
    <row r="242" spans="5:16" hidden="1" x14ac:dyDescent="0.25">
      <c r="E242" s="43">
        <f>COUNTIF($O$7:O242,FORMULARIO!$AA$2)</f>
        <v>1</v>
      </c>
      <c r="M242" s="46"/>
      <c r="P242" s="16"/>
    </row>
    <row r="243" spans="5:16" hidden="1" x14ac:dyDescent="0.25">
      <c r="E243" s="43">
        <f>COUNTIF($O$7:O243,FORMULARIO!$AA$2)</f>
        <v>1</v>
      </c>
      <c r="M243" s="46"/>
      <c r="P243" s="16"/>
    </row>
    <row r="244" spans="5:16" hidden="1" x14ac:dyDescent="0.25">
      <c r="E244" s="43">
        <f>COUNTIF($O$7:O244,FORMULARIO!$AA$2)</f>
        <v>1</v>
      </c>
      <c r="M244" s="46"/>
      <c r="P244" s="16"/>
    </row>
    <row r="245" spans="5:16" hidden="1" x14ac:dyDescent="0.25">
      <c r="E245" s="43">
        <f>COUNTIF($O$7:O245,FORMULARIO!$AA$2)</f>
        <v>1</v>
      </c>
      <c r="M245" s="46"/>
      <c r="P245" s="16"/>
    </row>
    <row r="246" spans="5:16" hidden="1" x14ac:dyDescent="0.25">
      <c r="E246" s="43">
        <f>COUNTIF($O$7:O246,FORMULARIO!$AA$2)</f>
        <v>1</v>
      </c>
      <c r="M246" s="46"/>
      <c r="P246" s="16"/>
    </row>
    <row r="247" spans="5:16" hidden="1" x14ac:dyDescent="0.25">
      <c r="E247" s="43">
        <f>COUNTIF($O$7:O247,FORMULARIO!$AA$2)</f>
        <v>1</v>
      </c>
      <c r="M247" s="46"/>
      <c r="P247" s="16"/>
    </row>
    <row r="248" spans="5:16" hidden="1" x14ac:dyDescent="0.25">
      <c r="E248" s="43">
        <f>COUNTIF($O$7:O248,FORMULARIO!$AA$2)</f>
        <v>1</v>
      </c>
      <c r="M248" s="46"/>
      <c r="P248" s="16"/>
    </row>
    <row r="249" spans="5:16" hidden="1" x14ac:dyDescent="0.25">
      <c r="E249" s="43">
        <f>COUNTIF($O$7:O249,FORMULARIO!$AA$2)</f>
        <v>1</v>
      </c>
      <c r="M249" s="46"/>
      <c r="P249" s="16"/>
    </row>
    <row r="250" spans="5:16" hidden="1" x14ac:dyDescent="0.25">
      <c r="E250" s="43">
        <f>COUNTIF($O$7:O250,FORMULARIO!$AA$2)</f>
        <v>1</v>
      </c>
      <c r="M250" s="46"/>
      <c r="P250" s="16"/>
    </row>
    <row r="251" spans="5:16" hidden="1" x14ac:dyDescent="0.25">
      <c r="E251" s="43">
        <f>COUNTIF($O$7:O251,FORMULARIO!$AA$2)</f>
        <v>1</v>
      </c>
      <c r="M251" s="46"/>
      <c r="P251" s="16"/>
    </row>
    <row r="252" spans="5:16" hidden="1" x14ac:dyDescent="0.25">
      <c r="E252" s="43">
        <f>COUNTIF($O$7:O252,FORMULARIO!$AA$2)</f>
        <v>1</v>
      </c>
      <c r="M252" s="46"/>
      <c r="P252" s="16"/>
    </row>
    <row r="253" spans="5:16" hidden="1" x14ac:dyDescent="0.25">
      <c r="E253" s="43">
        <f>COUNTIF($O$7:O253,FORMULARIO!$AA$2)</f>
        <v>1</v>
      </c>
      <c r="M253" s="46"/>
      <c r="P253" s="16"/>
    </row>
    <row r="254" spans="5:16" hidden="1" x14ac:dyDescent="0.25">
      <c r="E254" s="43">
        <f>COUNTIF($O$7:O254,FORMULARIO!$AA$2)</f>
        <v>1</v>
      </c>
      <c r="M254" s="46"/>
      <c r="P254" s="16"/>
    </row>
    <row r="255" spans="5:16" hidden="1" x14ac:dyDescent="0.25">
      <c r="E255" s="43">
        <f>COUNTIF($O$7:O255,FORMULARIO!$AA$2)</f>
        <v>1</v>
      </c>
      <c r="M255" s="46"/>
      <c r="P255" s="16"/>
    </row>
    <row r="256" spans="5:16" hidden="1" x14ac:dyDescent="0.25">
      <c r="E256" s="43">
        <f>COUNTIF($O$7:O256,FORMULARIO!$AA$2)</f>
        <v>1</v>
      </c>
      <c r="M256" s="46"/>
      <c r="P256" s="16"/>
    </row>
    <row r="257" spans="5:16" hidden="1" x14ac:dyDescent="0.25">
      <c r="E257" s="43">
        <f>COUNTIF($O$7:O257,FORMULARIO!$AA$2)</f>
        <v>1</v>
      </c>
      <c r="M257" s="46"/>
      <c r="P257" s="16"/>
    </row>
    <row r="258" spans="5:16" hidden="1" x14ac:dyDescent="0.25">
      <c r="E258" s="43">
        <f>COUNTIF($O$7:O258,FORMULARIO!$AA$2)</f>
        <v>1</v>
      </c>
      <c r="M258" s="46"/>
      <c r="P258" s="16"/>
    </row>
    <row r="259" spans="5:16" hidden="1" x14ac:dyDescent="0.25">
      <c r="E259" s="43">
        <f>COUNTIF($O$7:O259,FORMULARIO!$AA$2)</f>
        <v>1</v>
      </c>
      <c r="M259" s="46"/>
      <c r="P259" s="16"/>
    </row>
    <row r="260" spans="5:16" hidden="1" x14ac:dyDescent="0.25">
      <c r="E260" s="43">
        <f>COUNTIF($O$7:O260,FORMULARIO!$AA$2)</f>
        <v>1</v>
      </c>
      <c r="M260" s="46"/>
      <c r="P260" s="16"/>
    </row>
    <row r="261" spans="5:16" hidden="1" x14ac:dyDescent="0.25">
      <c r="E261" s="43">
        <f>COUNTIF($O$7:O261,FORMULARIO!$AA$2)</f>
        <v>1</v>
      </c>
      <c r="M261" s="46"/>
      <c r="P261" s="16"/>
    </row>
    <row r="262" spans="5:16" hidden="1" x14ac:dyDescent="0.25">
      <c r="E262" s="43">
        <f>COUNTIF($O$7:O262,FORMULARIO!$AA$2)</f>
        <v>1</v>
      </c>
      <c r="M262" s="46"/>
      <c r="P262" s="16"/>
    </row>
    <row r="263" spans="5:16" hidden="1" x14ac:dyDescent="0.25">
      <c r="E263" s="43">
        <f>COUNTIF($O$7:O263,FORMULARIO!$AA$2)</f>
        <v>1</v>
      </c>
      <c r="M263" s="46"/>
      <c r="P263" s="16"/>
    </row>
    <row r="264" spans="5:16" hidden="1" x14ac:dyDescent="0.25">
      <c r="E264" s="43">
        <f>COUNTIF($O$7:O264,FORMULARIO!$AA$2)</f>
        <v>1</v>
      </c>
      <c r="M264" s="46"/>
      <c r="P264" s="16"/>
    </row>
    <row r="265" spans="5:16" hidden="1" x14ac:dyDescent="0.25">
      <c r="E265" s="43">
        <f>COUNTIF($O$7:O265,FORMULARIO!$AA$2)</f>
        <v>1</v>
      </c>
      <c r="M265" s="46"/>
      <c r="P265" s="16"/>
    </row>
    <row r="266" spans="5:16" hidden="1" x14ac:dyDescent="0.25">
      <c r="E266" s="43">
        <f>COUNTIF($O$7:O266,FORMULARIO!$AA$2)</f>
        <v>1</v>
      </c>
      <c r="M266" s="46"/>
      <c r="P266" s="16"/>
    </row>
    <row r="267" spans="5:16" hidden="1" x14ac:dyDescent="0.25">
      <c r="E267" s="43">
        <f>COUNTIF($O$7:O267,FORMULARIO!$AA$2)</f>
        <v>1</v>
      </c>
      <c r="M267" s="46"/>
      <c r="P267" s="16"/>
    </row>
    <row r="268" spans="5:16" hidden="1" x14ac:dyDescent="0.25">
      <c r="E268" s="43">
        <f>COUNTIF($O$7:O268,FORMULARIO!$AA$2)</f>
        <v>1</v>
      </c>
      <c r="M268" s="46"/>
      <c r="P268" s="16"/>
    </row>
    <row r="269" spans="5:16" hidden="1" x14ac:dyDescent="0.25">
      <c r="E269" s="43">
        <f>COUNTIF($O$7:O269,FORMULARIO!$AA$2)</f>
        <v>1</v>
      </c>
      <c r="M269" s="46"/>
      <c r="P269" s="16"/>
    </row>
    <row r="270" spans="5:16" hidden="1" x14ac:dyDescent="0.25">
      <c r="E270" s="43">
        <f>COUNTIF($O$7:O270,FORMULARIO!$AA$2)</f>
        <v>1</v>
      </c>
      <c r="M270" s="46"/>
      <c r="P270" s="16"/>
    </row>
    <row r="271" spans="5:16" hidden="1" x14ac:dyDescent="0.25">
      <c r="E271" s="43">
        <f>COUNTIF($O$7:O271,FORMULARIO!$AA$2)</f>
        <v>1</v>
      </c>
      <c r="M271" s="46"/>
      <c r="P271" s="16"/>
    </row>
    <row r="272" spans="5:16" hidden="1" x14ac:dyDescent="0.25">
      <c r="E272" s="43">
        <f>COUNTIF($O$7:O272,FORMULARIO!$AA$2)</f>
        <v>1</v>
      </c>
      <c r="M272" s="46"/>
      <c r="P272" s="16"/>
    </row>
    <row r="273" spans="5:16" hidden="1" x14ac:dyDescent="0.25">
      <c r="E273" s="43">
        <f>COUNTIF($O$7:O273,FORMULARIO!$AA$2)</f>
        <v>1</v>
      </c>
      <c r="M273" s="46"/>
      <c r="P273" s="16"/>
    </row>
    <row r="274" spans="5:16" hidden="1" x14ac:dyDescent="0.25">
      <c r="E274" s="43">
        <f>COUNTIF($O$7:O274,FORMULARIO!$AA$2)</f>
        <v>1</v>
      </c>
      <c r="M274" s="46"/>
      <c r="P274" s="16"/>
    </row>
    <row r="275" spans="5:16" hidden="1" x14ac:dyDescent="0.25">
      <c r="E275" s="43">
        <f>COUNTIF($O$7:O275,FORMULARIO!$AA$2)</f>
        <v>1</v>
      </c>
      <c r="M275" s="46"/>
      <c r="P275" s="16"/>
    </row>
    <row r="276" spans="5:16" hidden="1" x14ac:dyDescent="0.25">
      <c r="E276" s="43">
        <f>COUNTIF($O$7:O276,FORMULARIO!$AA$2)</f>
        <v>1</v>
      </c>
      <c r="M276" s="46"/>
      <c r="P276" s="16"/>
    </row>
    <row r="277" spans="5:16" hidden="1" x14ac:dyDescent="0.25">
      <c r="E277" s="43">
        <f>COUNTIF($O$7:O277,FORMULARIO!$AA$2)</f>
        <v>1</v>
      </c>
      <c r="M277" s="46"/>
      <c r="P277" s="16"/>
    </row>
    <row r="278" spans="5:16" hidden="1" x14ac:dyDescent="0.25">
      <c r="E278" s="43">
        <f>COUNTIF($O$7:O278,FORMULARIO!$AA$2)</f>
        <v>1</v>
      </c>
      <c r="M278" s="46"/>
      <c r="P278" s="16"/>
    </row>
    <row r="279" spans="5:16" hidden="1" x14ac:dyDescent="0.25">
      <c r="E279" s="43">
        <f>COUNTIF($O$7:O279,FORMULARIO!$AA$2)</f>
        <v>1</v>
      </c>
      <c r="M279" s="46"/>
      <c r="P279" s="16"/>
    </row>
    <row r="280" spans="5:16" hidden="1" x14ac:dyDescent="0.25">
      <c r="E280" s="43">
        <f>COUNTIF($O$7:O280,FORMULARIO!$AA$2)</f>
        <v>1</v>
      </c>
      <c r="M280" s="46"/>
      <c r="P280" s="16"/>
    </row>
    <row r="281" spans="5:16" hidden="1" x14ac:dyDescent="0.25">
      <c r="E281" s="43">
        <f>COUNTIF($O$7:O281,FORMULARIO!$AA$2)</f>
        <v>1</v>
      </c>
      <c r="M281" s="46"/>
      <c r="P281" s="16"/>
    </row>
    <row r="282" spans="5:16" hidden="1" x14ac:dyDescent="0.25">
      <c r="E282" s="43">
        <f>COUNTIF($O$7:O282,FORMULARIO!$AA$2)</f>
        <v>1</v>
      </c>
      <c r="M282" s="46"/>
      <c r="P282" s="16"/>
    </row>
    <row r="283" spans="5:16" hidden="1" x14ac:dyDescent="0.25">
      <c r="E283" s="43">
        <f>COUNTIF($O$7:O283,FORMULARIO!$AA$2)</f>
        <v>1</v>
      </c>
      <c r="M283" s="46"/>
      <c r="P283" s="16"/>
    </row>
    <row r="284" spans="5:16" hidden="1" x14ac:dyDescent="0.25">
      <c r="E284" s="43">
        <f>COUNTIF($O$7:O284,FORMULARIO!$AA$2)</f>
        <v>1</v>
      </c>
      <c r="M284" s="46"/>
      <c r="P284" s="16"/>
    </row>
    <row r="285" spans="5:16" hidden="1" x14ac:dyDescent="0.25">
      <c r="E285" s="43">
        <f>COUNTIF($O$7:O285,FORMULARIO!$AA$2)</f>
        <v>1</v>
      </c>
      <c r="M285" s="46"/>
      <c r="P285" s="16"/>
    </row>
    <row r="286" spans="5:16" hidden="1" x14ac:dyDescent="0.25">
      <c r="E286" s="43">
        <f>COUNTIF($O$7:O286,FORMULARIO!$AA$2)</f>
        <v>1</v>
      </c>
      <c r="M286" s="46"/>
      <c r="P286" s="16"/>
    </row>
    <row r="287" spans="5:16" hidden="1" x14ac:dyDescent="0.25">
      <c r="E287" s="43">
        <f>COUNTIF($O$7:O287,FORMULARIO!$AA$2)</f>
        <v>1</v>
      </c>
      <c r="M287" s="46"/>
      <c r="P287" s="16"/>
    </row>
    <row r="288" spans="5:16" hidden="1" x14ac:dyDescent="0.25">
      <c r="E288" s="43">
        <f>COUNTIF($O$7:O288,FORMULARIO!$AA$2)</f>
        <v>1</v>
      </c>
      <c r="M288" s="46"/>
      <c r="P288" s="16"/>
    </row>
    <row r="289" spans="5:16" hidden="1" x14ac:dyDescent="0.25">
      <c r="E289" s="43">
        <f>COUNTIF($O$7:O289,FORMULARIO!$AA$2)</f>
        <v>1</v>
      </c>
      <c r="M289" s="46"/>
      <c r="P289" s="16"/>
    </row>
    <row r="290" spans="5:16" hidden="1" x14ac:dyDescent="0.25">
      <c r="E290" s="43">
        <f>COUNTIF($O$7:O290,FORMULARIO!$AA$2)</f>
        <v>1</v>
      </c>
      <c r="M290" s="46"/>
      <c r="P290" s="16"/>
    </row>
    <row r="291" spans="5:16" hidden="1" x14ac:dyDescent="0.25">
      <c r="E291" s="43">
        <f>COUNTIF($O$7:O291,FORMULARIO!$AA$2)</f>
        <v>1</v>
      </c>
      <c r="M291" s="46"/>
      <c r="P291" s="16"/>
    </row>
    <row r="292" spans="5:16" hidden="1" x14ac:dyDescent="0.25">
      <c r="E292" s="43">
        <f>COUNTIF($O$7:O292,FORMULARIO!$AA$2)</f>
        <v>1</v>
      </c>
      <c r="M292" s="46"/>
      <c r="P292" s="16"/>
    </row>
    <row r="293" spans="5:16" hidden="1" x14ac:dyDescent="0.25">
      <c r="E293" s="43">
        <f>COUNTIF($O$7:O293,FORMULARIO!$AA$2)</f>
        <v>1</v>
      </c>
      <c r="M293" s="46"/>
      <c r="P293" s="16"/>
    </row>
    <row r="294" spans="5:16" hidden="1" x14ac:dyDescent="0.25">
      <c r="E294" s="43">
        <f>COUNTIF($O$7:O294,FORMULARIO!$AA$2)</f>
        <v>1</v>
      </c>
      <c r="M294" s="46"/>
      <c r="P294" s="16"/>
    </row>
    <row r="295" spans="5:16" hidden="1" x14ac:dyDescent="0.25">
      <c r="E295" s="43">
        <f>COUNTIF($O$7:O295,FORMULARIO!$AA$2)</f>
        <v>1</v>
      </c>
      <c r="M295" s="46"/>
      <c r="P295" s="16"/>
    </row>
    <row r="296" spans="5:16" hidden="1" x14ac:dyDescent="0.25">
      <c r="E296" s="43">
        <f>COUNTIF($O$7:O296,FORMULARIO!$AA$2)</f>
        <v>1</v>
      </c>
      <c r="M296" s="46"/>
      <c r="P296" s="16"/>
    </row>
    <row r="297" spans="5:16" hidden="1" x14ac:dyDescent="0.25">
      <c r="E297" s="43">
        <f>COUNTIF($O$7:O297,FORMULARIO!$AA$2)</f>
        <v>1</v>
      </c>
      <c r="M297" s="46"/>
      <c r="P297" s="16"/>
    </row>
    <row r="298" spans="5:16" hidden="1" x14ac:dyDescent="0.25">
      <c r="E298" s="43">
        <f>COUNTIF($O$7:O298,FORMULARIO!$AA$2)</f>
        <v>1</v>
      </c>
      <c r="M298" s="46"/>
      <c r="P298" s="16"/>
    </row>
    <row r="299" spans="5:16" hidden="1" x14ac:dyDescent="0.25">
      <c r="E299" s="43">
        <f>COUNTIF($O$7:O299,FORMULARIO!$AA$2)</f>
        <v>1</v>
      </c>
      <c r="M299" s="46"/>
      <c r="P299" s="16"/>
    </row>
    <row r="300" spans="5:16" hidden="1" x14ac:dyDescent="0.25">
      <c r="E300" s="43">
        <f>COUNTIF($O$7:O300,FORMULARIO!$AA$2)</f>
        <v>1</v>
      </c>
      <c r="M300" s="46"/>
      <c r="P300" s="16"/>
    </row>
    <row r="301" spans="5:16" hidden="1" x14ac:dyDescent="0.25">
      <c r="E301" s="43">
        <f>COUNTIF($O$7:O301,FORMULARIO!$AA$2)</f>
        <v>1</v>
      </c>
      <c r="M301" s="46"/>
      <c r="P301" s="16"/>
    </row>
    <row r="302" spans="5:16" hidden="1" x14ac:dyDescent="0.25">
      <c r="E302" s="43">
        <f>COUNTIF($O$7:O302,FORMULARIO!$AA$2)</f>
        <v>1</v>
      </c>
      <c r="M302" s="46"/>
      <c r="P302" s="16"/>
    </row>
    <row r="303" spans="5:16" hidden="1" x14ac:dyDescent="0.25">
      <c r="E303" s="43">
        <f>COUNTIF($O$7:O303,FORMULARIO!$AA$2)</f>
        <v>1</v>
      </c>
      <c r="M303" s="46"/>
      <c r="P303" s="16"/>
    </row>
    <row r="304" spans="5:16" hidden="1" x14ac:dyDescent="0.25">
      <c r="E304" s="43">
        <f>COUNTIF($O$7:O304,FORMULARIO!$AA$2)</f>
        <v>1</v>
      </c>
      <c r="M304" s="46"/>
      <c r="P304" s="16"/>
    </row>
    <row r="305" spans="5:16" hidden="1" x14ac:dyDescent="0.25">
      <c r="E305" s="43">
        <f>COUNTIF($O$7:O305,FORMULARIO!$AA$2)</f>
        <v>1</v>
      </c>
      <c r="M305" s="46"/>
      <c r="P305" s="16"/>
    </row>
    <row r="306" spans="5:16" hidden="1" x14ac:dyDescent="0.25">
      <c r="E306" s="43">
        <f>COUNTIF($O$7:O306,FORMULARIO!$AA$2)</f>
        <v>1</v>
      </c>
      <c r="M306" s="46"/>
      <c r="P306" s="16"/>
    </row>
    <row r="307" spans="5:16" hidden="1" x14ac:dyDescent="0.25">
      <c r="E307" s="43">
        <f>COUNTIF($O$7:O307,FORMULARIO!$AA$2)</f>
        <v>1</v>
      </c>
      <c r="M307" s="46"/>
      <c r="P307" s="16"/>
    </row>
    <row r="308" spans="5:16" hidden="1" x14ac:dyDescent="0.25">
      <c r="E308" s="43">
        <f>COUNTIF($O$7:O308,FORMULARIO!$AA$2)</f>
        <v>1</v>
      </c>
      <c r="M308" s="46"/>
      <c r="P308" s="16"/>
    </row>
    <row r="309" spans="5:16" hidden="1" x14ac:dyDescent="0.25">
      <c r="E309" s="43">
        <f>COUNTIF($O$7:O309,FORMULARIO!$AA$2)</f>
        <v>1</v>
      </c>
      <c r="M309" s="46"/>
      <c r="P309" s="16"/>
    </row>
    <row r="310" spans="5:16" hidden="1" x14ac:dyDescent="0.25">
      <c r="E310" s="43">
        <f>COUNTIF($O$7:O310,FORMULARIO!$AA$2)</f>
        <v>1</v>
      </c>
      <c r="M310" s="46"/>
      <c r="P310" s="16"/>
    </row>
    <row r="311" spans="5:16" hidden="1" x14ac:dyDescent="0.25">
      <c r="E311" s="43">
        <f>COUNTIF($O$7:O311,FORMULARIO!$AA$2)</f>
        <v>1</v>
      </c>
      <c r="M311" s="46"/>
      <c r="P311" s="16"/>
    </row>
    <row r="312" spans="5:16" hidden="1" x14ac:dyDescent="0.25">
      <c r="E312" s="43">
        <f>COUNTIF($O$7:O312,FORMULARIO!$AA$2)</f>
        <v>1</v>
      </c>
      <c r="M312" s="46"/>
      <c r="P312" s="16"/>
    </row>
    <row r="313" spans="5:16" hidden="1" x14ac:dyDescent="0.25">
      <c r="E313" s="43">
        <f>COUNTIF($O$7:O313,FORMULARIO!$AA$2)</f>
        <v>1</v>
      </c>
      <c r="M313" s="46"/>
      <c r="P313" s="16"/>
    </row>
    <row r="314" spans="5:16" hidden="1" x14ac:dyDescent="0.25">
      <c r="E314" s="43">
        <f>COUNTIF($O$7:O314,FORMULARIO!$AA$2)</f>
        <v>1</v>
      </c>
      <c r="M314" s="46"/>
      <c r="P314" s="16"/>
    </row>
    <row r="315" spans="5:16" hidden="1" x14ac:dyDescent="0.25">
      <c r="E315" s="43">
        <f>COUNTIF($O$7:O315,FORMULARIO!$AA$2)</f>
        <v>1</v>
      </c>
      <c r="M315" s="46"/>
      <c r="P315" s="16"/>
    </row>
    <row r="316" spans="5:16" hidden="1" x14ac:dyDescent="0.25">
      <c r="E316" s="43">
        <f>COUNTIF($O$7:O316,FORMULARIO!$AA$2)</f>
        <v>1</v>
      </c>
      <c r="M316" s="46"/>
      <c r="P316" s="16"/>
    </row>
    <row r="317" spans="5:16" hidden="1" x14ac:dyDescent="0.25">
      <c r="E317" s="43">
        <f>COUNTIF($O$7:O317,FORMULARIO!$AA$2)</f>
        <v>1</v>
      </c>
      <c r="M317" s="46"/>
      <c r="P317" s="16"/>
    </row>
    <row r="318" spans="5:16" hidden="1" x14ac:dyDescent="0.25">
      <c r="E318" s="43">
        <f>COUNTIF($O$7:O318,FORMULARIO!$AA$2)</f>
        <v>1</v>
      </c>
      <c r="M318" s="46"/>
      <c r="P318" s="16"/>
    </row>
    <row r="319" spans="5:16" hidden="1" x14ac:dyDescent="0.25">
      <c r="E319" s="43">
        <f>COUNTIF($O$7:O319,FORMULARIO!$AA$2)</f>
        <v>1</v>
      </c>
      <c r="M319" s="46"/>
      <c r="P319" s="16"/>
    </row>
    <row r="320" spans="5:16" hidden="1" x14ac:dyDescent="0.25">
      <c r="E320" s="43">
        <f>COUNTIF($O$7:O320,FORMULARIO!$AA$2)</f>
        <v>1</v>
      </c>
      <c r="M320" s="46"/>
      <c r="P320" s="16"/>
    </row>
    <row r="321" spans="5:16" hidden="1" x14ac:dyDescent="0.25">
      <c r="E321" s="43">
        <f>COUNTIF($O$7:O321,FORMULARIO!$AA$2)</f>
        <v>1</v>
      </c>
      <c r="M321" s="46"/>
      <c r="P321" s="16"/>
    </row>
    <row r="322" spans="5:16" hidden="1" x14ac:dyDescent="0.25">
      <c r="E322" s="43">
        <f>COUNTIF($O$7:O322,FORMULARIO!$AA$2)</f>
        <v>1</v>
      </c>
      <c r="M322" s="46"/>
      <c r="P322" s="16"/>
    </row>
    <row r="323" spans="5:16" hidden="1" x14ac:dyDescent="0.25">
      <c r="E323" s="43">
        <f>COUNTIF($O$7:O323,FORMULARIO!$AA$2)</f>
        <v>1</v>
      </c>
      <c r="M323" s="46"/>
      <c r="P323" s="16"/>
    </row>
    <row r="324" spans="5:16" hidden="1" x14ac:dyDescent="0.25">
      <c r="E324" s="43">
        <f>COUNTIF($O$7:O324,FORMULARIO!$AA$2)</f>
        <v>1</v>
      </c>
      <c r="M324" s="46"/>
      <c r="P324" s="16"/>
    </row>
    <row r="325" spans="5:16" hidden="1" x14ac:dyDescent="0.25">
      <c r="E325" s="43">
        <f>COUNTIF($O$7:O325,FORMULARIO!$AA$2)</f>
        <v>1</v>
      </c>
      <c r="M325" s="46"/>
      <c r="P325" s="16"/>
    </row>
    <row r="326" spans="5:16" hidden="1" x14ac:dyDescent="0.25">
      <c r="E326" s="43">
        <f>COUNTIF($O$7:O326,FORMULARIO!$AA$2)</f>
        <v>1</v>
      </c>
      <c r="M326" s="46"/>
      <c r="P326" s="16"/>
    </row>
    <row r="327" spans="5:16" hidden="1" x14ac:dyDescent="0.25">
      <c r="E327" s="43">
        <f>COUNTIF($O$7:O327,FORMULARIO!$AA$2)</f>
        <v>1</v>
      </c>
      <c r="M327" s="46"/>
      <c r="P327" s="16"/>
    </row>
    <row r="328" spans="5:16" hidden="1" x14ac:dyDescent="0.25">
      <c r="E328" s="43">
        <f>COUNTIF($O$7:O328,FORMULARIO!$AA$2)</f>
        <v>1</v>
      </c>
      <c r="M328" s="46"/>
      <c r="P328" s="16"/>
    </row>
    <row r="329" spans="5:16" hidden="1" x14ac:dyDescent="0.25">
      <c r="E329" s="43">
        <f>COUNTIF($O$7:O329,FORMULARIO!$AA$2)</f>
        <v>1</v>
      </c>
      <c r="M329" s="46"/>
      <c r="P329" s="16"/>
    </row>
    <row r="330" spans="5:16" hidden="1" x14ac:dyDescent="0.25">
      <c r="E330" s="43">
        <f>COUNTIF($O$7:O330,FORMULARIO!$AA$2)</f>
        <v>1</v>
      </c>
      <c r="M330" s="46"/>
      <c r="P330" s="16"/>
    </row>
    <row r="331" spans="5:16" hidden="1" x14ac:dyDescent="0.25">
      <c r="E331" s="43">
        <f>COUNTIF($O$7:O331,FORMULARIO!$AA$2)</f>
        <v>1</v>
      </c>
      <c r="M331" s="46"/>
      <c r="P331" s="16"/>
    </row>
    <row r="332" spans="5:16" hidden="1" x14ac:dyDescent="0.25">
      <c r="E332" s="43">
        <f>COUNTIF($O$7:O332,FORMULARIO!$AA$2)</f>
        <v>1</v>
      </c>
      <c r="M332" s="46"/>
      <c r="P332" s="16"/>
    </row>
    <row r="333" spans="5:16" hidden="1" x14ac:dyDescent="0.25">
      <c r="E333" s="43">
        <f>COUNTIF($O$7:O333,FORMULARIO!$AA$2)</f>
        <v>1</v>
      </c>
      <c r="M333" s="46"/>
      <c r="P333" s="16"/>
    </row>
    <row r="334" spans="5:16" hidden="1" x14ac:dyDescent="0.25">
      <c r="E334" s="43">
        <f>COUNTIF($O$7:O334,FORMULARIO!$AA$2)</f>
        <v>1</v>
      </c>
      <c r="M334" s="46"/>
      <c r="P334" s="16"/>
    </row>
    <row r="335" spans="5:16" hidden="1" x14ac:dyDescent="0.25">
      <c r="E335" s="43">
        <f>COUNTIF($O$7:O335,FORMULARIO!$AA$2)</f>
        <v>1</v>
      </c>
      <c r="M335" s="46"/>
      <c r="P335" s="16"/>
    </row>
    <row r="336" spans="5:16" hidden="1" x14ac:dyDescent="0.25">
      <c r="E336" s="43">
        <f>COUNTIF($O$7:O336,FORMULARIO!$AA$2)</f>
        <v>1</v>
      </c>
      <c r="M336" s="46"/>
      <c r="P336" s="16"/>
    </row>
    <row r="337" spans="5:16" hidden="1" x14ac:dyDescent="0.25">
      <c r="E337" s="43">
        <f>COUNTIF($O$7:O337,FORMULARIO!$AA$2)</f>
        <v>1</v>
      </c>
      <c r="M337" s="46"/>
      <c r="P337" s="16"/>
    </row>
    <row r="338" spans="5:16" hidden="1" x14ac:dyDescent="0.25">
      <c r="E338" s="43">
        <f>COUNTIF($O$7:O338,FORMULARIO!$AA$2)</f>
        <v>1</v>
      </c>
      <c r="M338" s="46"/>
      <c r="P338" s="16"/>
    </row>
    <row r="339" spans="5:16" hidden="1" x14ac:dyDescent="0.25">
      <c r="E339" s="43">
        <f>COUNTIF($O$7:O339,FORMULARIO!$AA$2)</f>
        <v>1</v>
      </c>
      <c r="M339" s="46"/>
      <c r="P339" s="16"/>
    </row>
    <row r="340" spans="5:16" hidden="1" x14ac:dyDescent="0.25">
      <c r="E340" s="43">
        <f>COUNTIF($O$7:O340,FORMULARIO!$AA$2)</f>
        <v>1</v>
      </c>
      <c r="M340" s="46"/>
      <c r="P340" s="16"/>
    </row>
    <row r="341" spans="5:16" hidden="1" x14ac:dyDescent="0.25">
      <c r="E341" s="43">
        <f>COUNTIF($O$7:O341,FORMULARIO!$AA$2)</f>
        <v>1</v>
      </c>
      <c r="M341" s="46"/>
      <c r="P341" s="16"/>
    </row>
    <row r="342" spans="5:16" hidden="1" x14ac:dyDescent="0.25">
      <c r="E342" s="43">
        <f>COUNTIF($O$7:O342,FORMULARIO!$AA$2)</f>
        <v>1</v>
      </c>
      <c r="M342" s="46"/>
      <c r="P342" s="16"/>
    </row>
    <row r="343" spans="5:16" hidden="1" x14ac:dyDescent="0.25">
      <c r="E343" s="43">
        <f>COUNTIF($O$7:O343,FORMULARIO!$AA$2)</f>
        <v>1</v>
      </c>
      <c r="M343" s="46"/>
      <c r="P343" s="16"/>
    </row>
    <row r="344" spans="5:16" hidden="1" x14ac:dyDescent="0.25">
      <c r="E344" s="43">
        <f>COUNTIF($O$7:O344,FORMULARIO!$AA$2)</f>
        <v>1</v>
      </c>
      <c r="M344" s="46"/>
      <c r="P344" s="16"/>
    </row>
    <row r="345" spans="5:16" hidden="1" x14ac:dyDescent="0.25">
      <c r="E345" s="43">
        <f>COUNTIF($O$7:O345,FORMULARIO!$AA$2)</f>
        <v>1</v>
      </c>
      <c r="M345" s="46"/>
      <c r="P345" s="16"/>
    </row>
    <row r="346" spans="5:16" hidden="1" x14ac:dyDescent="0.25">
      <c r="E346" s="43">
        <f>COUNTIF($O$7:O346,FORMULARIO!$AA$2)</f>
        <v>1</v>
      </c>
      <c r="M346" s="46"/>
      <c r="P346" s="16"/>
    </row>
    <row r="347" spans="5:16" hidden="1" x14ac:dyDescent="0.25">
      <c r="E347" s="43">
        <f>COUNTIF($O$7:O347,FORMULARIO!$AA$2)</f>
        <v>1</v>
      </c>
      <c r="M347" s="46"/>
      <c r="P347" s="16"/>
    </row>
    <row r="348" spans="5:16" hidden="1" x14ac:dyDescent="0.25">
      <c r="E348" s="43">
        <f>COUNTIF($O$7:O348,FORMULARIO!$AA$2)</f>
        <v>1</v>
      </c>
      <c r="M348" s="46"/>
      <c r="P348" s="16"/>
    </row>
    <row r="349" spans="5:16" hidden="1" x14ac:dyDescent="0.25">
      <c r="E349" s="43">
        <f>COUNTIF($O$7:O349,FORMULARIO!$AA$2)</f>
        <v>1</v>
      </c>
      <c r="M349" s="46"/>
      <c r="P349" s="16"/>
    </row>
    <row r="350" spans="5:16" hidden="1" x14ac:dyDescent="0.25">
      <c r="E350" s="43">
        <f>COUNTIF($O$7:O350,FORMULARIO!$AA$2)</f>
        <v>1</v>
      </c>
      <c r="M350" s="46"/>
      <c r="P350" s="16"/>
    </row>
    <row r="351" spans="5:16" hidden="1" x14ac:dyDescent="0.25">
      <c r="E351" s="43">
        <f>COUNTIF($O$7:O351,FORMULARIO!$AA$2)</f>
        <v>1</v>
      </c>
      <c r="M351" s="46"/>
      <c r="P351" s="16"/>
    </row>
    <row r="352" spans="5:16" hidden="1" x14ac:dyDescent="0.25">
      <c r="E352" s="43">
        <f>COUNTIF($O$7:O352,FORMULARIO!$AA$2)</f>
        <v>1</v>
      </c>
      <c r="M352" s="46"/>
      <c r="P352" s="16"/>
    </row>
    <row r="353" spans="5:16" hidden="1" x14ac:dyDescent="0.25">
      <c r="E353" s="43">
        <f>COUNTIF($O$7:O353,FORMULARIO!$AA$2)</f>
        <v>1</v>
      </c>
      <c r="M353" s="46"/>
      <c r="P353" s="16"/>
    </row>
    <row r="354" spans="5:16" hidden="1" x14ac:dyDescent="0.25">
      <c r="E354" s="43">
        <f>COUNTIF($O$7:O354,FORMULARIO!$AA$2)</f>
        <v>1</v>
      </c>
      <c r="M354" s="46"/>
      <c r="P354" s="16"/>
    </row>
    <row r="355" spans="5:16" hidden="1" x14ac:dyDescent="0.25">
      <c r="E355" s="43">
        <f>COUNTIF($O$7:O355,FORMULARIO!$AA$2)</f>
        <v>1</v>
      </c>
      <c r="M355" s="46"/>
      <c r="P355" s="16"/>
    </row>
    <row r="356" spans="5:16" hidden="1" x14ac:dyDescent="0.25">
      <c r="E356" s="43">
        <f>COUNTIF($O$7:O356,FORMULARIO!$AA$2)</f>
        <v>1</v>
      </c>
      <c r="M356" s="46"/>
      <c r="P356" s="16"/>
    </row>
    <row r="357" spans="5:16" hidden="1" x14ac:dyDescent="0.25">
      <c r="E357" s="43">
        <f>COUNTIF($O$7:O357,FORMULARIO!$AA$2)</f>
        <v>1</v>
      </c>
      <c r="M357" s="46"/>
      <c r="P357" s="16"/>
    </row>
    <row r="358" spans="5:16" hidden="1" x14ac:dyDescent="0.25">
      <c r="E358" s="43">
        <f>COUNTIF($O$7:O358,FORMULARIO!$AA$2)</f>
        <v>1</v>
      </c>
      <c r="M358" s="46"/>
      <c r="P358" s="16"/>
    </row>
    <row r="359" spans="5:16" hidden="1" x14ac:dyDescent="0.25">
      <c r="E359" s="43">
        <f>COUNTIF($O$7:O359,FORMULARIO!$AA$2)</f>
        <v>1</v>
      </c>
      <c r="M359" s="46"/>
      <c r="P359" s="16"/>
    </row>
    <row r="360" spans="5:16" hidden="1" x14ac:dyDescent="0.25">
      <c r="E360" s="43">
        <f>COUNTIF($O$7:O360,FORMULARIO!$AA$2)</f>
        <v>1</v>
      </c>
      <c r="M360" s="46"/>
      <c r="P360" s="16"/>
    </row>
    <row r="361" spans="5:16" hidden="1" x14ac:dyDescent="0.25">
      <c r="E361" s="43">
        <f>COUNTIF($O$7:O361,FORMULARIO!$AA$2)</f>
        <v>1</v>
      </c>
      <c r="M361" s="46"/>
      <c r="P361" s="16"/>
    </row>
    <row r="362" spans="5:16" hidden="1" x14ac:dyDescent="0.25">
      <c r="E362" s="43">
        <f>COUNTIF($O$7:O362,FORMULARIO!$AA$2)</f>
        <v>1</v>
      </c>
      <c r="M362" s="46"/>
      <c r="P362" s="16"/>
    </row>
    <row r="363" spans="5:16" hidden="1" x14ac:dyDescent="0.25">
      <c r="E363" s="43">
        <f>COUNTIF($O$7:O363,FORMULARIO!$AA$2)</f>
        <v>1</v>
      </c>
      <c r="M363" s="46"/>
      <c r="P363" s="16"/>
    </row>
    <row r="364" spans="5:16" hidden="1" x14ac:dyDescent="0.25">
      <c r="E364" s="43">
        <f>COUNTIF($O$7:O364,FORMULARIO!$AA$2)</f>
        <v>1</v>
      </c>
      <c r="M364" s="46"/>
      <c r="P364" s="16"/>
    </row>
    <row r="365" spans="5:16" hidden="1" x14ac:dyDescent="0.25">
      <c r="E365" s="43">
        <f>COUNTIF($O$7:O365,FORMULARIO!$AA$2)</f>
        <v>1</v>
      </c>
      <c r="M365" s="46"/>
      <c r="P365" s="16"/>
    </row>
    <row r="366" spans="5:16" hidden="1" x14ac:dyDescent="0.25">
      <c r="E366" s="43">
        <f>COUNTIF($O$7:O366,FORMULARIO!$AA$2)</f>
        <v>1</v>
      </c>
      <c r="M366" s="46"/>
      <c r="P366" s="16"/>
    </row>
    <row r="367" spans="5:16" hidden="1" x14ac:dyDescent="0.25">
      <c r="E367" s="43">
        <f>COUNTIF($O$7:O367,FORMULARIO!$AA$2)</f>
        <v>1</v>
      </c>
      <c r="M367" s="46"/>
      <c r="P367" s="16"/>
    </row>
    <row r="368" spans="5:16" hidden="1" x14ac:dyDescent="0.25">
      <c r="E368" s="43">
        <f>COUNTIF($O$7:O368,FORMULARIO!$AA$2)</f>
        <v>1</v>
      </c>
      <c r="M368" s="46"/>
      <c r="P368" s="16"/>
    </row>
    <row r="369" spans="5:16" hidden="1" x14ac:dyDescent="0.25">
      <c r="E369" s="43">
        <f>COUNTIF($O$7:O369,FORMULARIO!$AA$2)</f>
        <v>1</v>
      </c>
      <c r="M369" s="46"/>
      <c r="P369" s="16"/>
    </row>
    <row r="370" spans="5:16" hidden="1" x14ac:dyDescent="0.25">
      <c r="E370" s="43">
        <f>COUNTIF($O$7:O370,FORMULARIO!$AA$2)</f>
        <v>1</v>
      </c>
      <c r="M370" s="46"/>
      <c r="P370" s="16"/>
    </row>
    <row r="371" spans="5:16" hidden="1" x14ac:dyDescent="0.25">
      <c r="E371" s="43">
        <f>COUNTIF($O$7:O371,FORMULARIO!$AA$2)</f>
        <v>1</v>
      </c>
      <c r="M371" s="46"/>
      <c r="P371" s="16"/>
    </row>
    <row r="372" spans="5:16" hidden="1" x14ac:dyDescent="0.25">
      <c r="E372" s="43">
        <f>COUNTIF($O$7:O372,FORMULARIO!$AA$2)</f>
        <v>1</v>
      </c>
      <c r="M372" s="46"/>
      <c r="P372" s="16"/>
    </row>
    <row r="373" spans="5:16" hidden="1" x14ac:dyDescent="0.25">
      <c r="E373" s="43">
        <f>COUNTIF($O$7:O373,FORMULARIO!$AA$2)</f>
        <v>1</v>
      </c>
      <c r="M373" s="46"/>
      <c r="P373" s="16"/>
    </row>
    <row r="374" spans="5:16" hidden="1" x14ac:dyDescent="0.25">
      <c r="E374" s="43">
        <f>COUNTIF($O$7:O374,FORMULARIO!$AA$2)</f>
        <v>1</v>
      </c>
      <c r="M374" s="46"/>
      <c r="P374" s="16"/>
    </row>
    <row r="375" spans="5:16" hidden="1" x14ac:dyDescent="0.25">
      <c r="E375" s="43">
        <f>COUNTIF($O$7:O375,FORMULARIO!$AA$2)</f>
        <v>1</v>
      </c>
      <c r="M375" s="46"/>
      <c r="P375" s="16"/>
    </row>
    <row r="376" spans="5:16" hidden="1" x14ac:dyDescent="0.25">
      <c r="E376" s="43">
        <f>COUNTIF($O$7:O376,FORMULARIO!$AA$2)</f>
        <v>1</v>
      </c>
      <c r="M376" s="46"/>
      <c r="P376" s="16"/>
    </row>
    <row r="377" spans="5:16" hidden="1" x14ac:dyDescent="0.25">
      <c r="E377" s="43">
        <f>COUNTIF($O$7:O377,FORMULARIO!$AA$2)</f>
        <v>1</v>
      </c>
      <c r="M377" s="46"/>
      <c r="P377" s="16"/>
    </row>
    <row r="378" spans="5:16" hidden="1" x14ac:dyDescent="0.25">
      <c r="E378" s="43">
        <f>COUNTIF($O$7:O378,FORMULARIO!$AA$2)</f>
        <v>1</v>
      </c>
      <c r="M378" s="46"/>
      <c r="P378" s="16"/>
    </row>
    <row r="379" spans="5:16" hidden="1" x14ac:dyDescent="0.25">
      <c r="E379" s="43">
        <f>COUNTIF($O$7:O379,FORMULARIO!$AA$2)</f>
        <v>1</v>
      </c>
      <c r="M379" s="46"/>
      <c r="P379" s="16"/>
    </row>
    <row r="380" spans="5:16" hidden="1" x14ac:dyDescent="0.25">
      <c r="E380" s="43">
        <f>COUNTIF($O$7:O380,FORMULARIO!$AA$2)</f>
        <v>1</v>
      </c>
      <c r="M380" s="46"/>
      <c r="P380" s="16"/>
    </row>
    <row r="381" spans="5:16" hidden="1" x14ac:dyDescent="0.25">
      <c r="E381" s="43">
        <f>COUNTIF($O$7:O381,FORMULARIO!$AA$2)</f>
        <v>1</v>
      </c>
      <c r="M381" s="46"/>
      <c r="P381" s="16"/>
    </row>
    <row r="382" spans="5:16" hidden="1" x14ac:dyDescent="0.25">
      <c r="E382" s="43">
        <f>COUNTIF($O$7:O382,FORMULARIO!$AA$2)</f>
        <v>1</v>
      </c>
      <c r="M382" s="46"/>
      <c r="P382" s="16"/>
    </row>
    <row r="383" spans="5:16" hidden="1" x14ac:dyDescent="0.25">
      <c r="E383" s="43">
        <f>COUNTIF($O$7:O383,FORMULARIO!$AA$2)</f>
        <v>1</v>
      </c>
      <c r="M383" s="46"/>
      <c r="P383" s="16"/>
    </row>
    <row r="384" spans="5:16" hidden="1" x14ac:dyDescent="0.25">
      <c r="E384" s="43">
        <f>COUNTIF($O$7:O384,FORMULARIO!$AA$2)</f>
        <v>1</v>
      </c>
      <c r="M384" s="46"/>
      <c r="P384" s="16"/>
    </row>
    <row r="385" spans="5:16" hidden="1" x14ac:dyDescent="0.25">
      <c r="E385" s="43">
        <f>COUNTIF($O$7:O385,FORMULARIO!$AA$2)</f>
        <v>1</v>
      </c>
      <c r="M385" s="46"/>
      <c r="P385" s="16"/>
    </row>
    <row r="386" spans="5:16" hidden="1" x14ac:dyDescent="0.25">
      <c r="E386" s="43">
        <f>COUNTIF($O$7:O386,FORMULARIO!$AA$2)</f>
        <v>1</v>
      </c>
      <c r="M386" s="46"/>
      <c r="P386" s="16"/>
    </row>
    <row r="387" spans="5:16" hidden="1" x14ac:dyDescent="0.25">
      <c r="E387" s="43">
        <f>COUNTIF($O$7:O387,FORMULARIO!$AA$2)</f>
        <v>1</v>
      </c>
      <c r="M387" s="46"/>
      <c r="P387" s="16"/>
    </row>
    <row r="388" spans="5:16" hidden="1" x14ac:dyDescent="0.25">
      <c r="E388" s="43">
        <f>COUNTIF($O$7:O388,FORMULARIO!$AA$2)</f>
        <v>1</v>
      </c>
      <c r="M388" s="46"/>
      <c r="P388" s="16"/>
    </row>
    <row r="389" spans="5:16" hidden="1" x14ac:dyDescent="0.25">
      <c r="E389" s="43">
        <f>COUNTIF($O$7:O389,FORMULARIO!$AA$2)</f>
        <v>1</v>
      </c>
      <c r="M389" s="46"/>
      <c r="P389" s="16"/>
    </row>
    <row r="390" spans="5:16" hidden="1" x14ac:dyDescent="0.25">
      <c r="E390" s="43">
        <f>COUNTIF($O$7:O390,FORMULARIO!$AA$2)</f>
        <v>1</v>
      </c>
      <c r="M390" s="46"/>
      <c r="P390" s="16"/>
    </row>
    <row r="391" spans="5:16" hidden="1" x14ac:dyDescent="0.25">
      <c r="E391" s="43">
        <f>COUNTIF($O$7:O391,FORMULARIO!$AA$2)</f>
        <v>1</v>
      </c>
      <c r="M391" s="46"/>
      <c r="P391" s="16"/>
    </row>
    <row r="392" spans="5:16" hidden="1" x14ac:dyDescent="0.25">
      <c r="E392" s="43">
        <f>COUNTIF($O$7:O392,FORMULARIO!$AA$2)</f>
        <v>1</v>
      </c>
      <c r="M392" s="46"/>
      <c r="P392" s="16"/>
    </row>
    <row r="393" spans="5:16" hidden="1" x14ac:dyDescent="0.25">
      <c r="E393" s="43">
        <f>COUNTIF($O$7:O393,FORMULARIO!$AA$2)</f>
        <v>1</v>
      </c>
      <c r="M393" s="46"/>
      <c r="P393" s="16"/>
    </row>
    <row r="394" spans="5:16" hidden="1" x14ac:dyDescent="0.25">
      <c r="E394" s="43">
        <f>COUNTIF($O$7:O394,FORMULARIO!$AA$2)</f>
        <v>1</v>
      </c>
      <c r="M394" s="46"/>
      <c r="P394" s="16"/>
    </row>
    <row r="395" spans="5:16" hidden="1" x14ac:dyDescent="0.25">
      <c r="E395" s="43">
        <f>COUNTIF($O$7:O395,FORMULARIO!$AA$2)</f>
        <v>1</v>
      </c>
      <c r="M395" s="46"/>
      <c r="P395" s="16"/>
    </row>
    <row r="396" spans="5:16" hidden="1" x14ac:dyDescent="0.25">
      <c r="E396" s="43">
        <f>COUNTIF($O$7:O396,FORMULARIO!$AA$2)</f>
        <v>1</v>
      </c>
      <c r="M396" s="46"/>
      <c r="P396" s="16"/>
    </row>
    <row r="397" spans="5:16" hidden="1" x14ac:dyDescent="0.25">
      <c r="E397" s="43">
        <f>COUNTIF($O$7:O397,FORMULARIO!$AA$2)</f>
        <v>1</v>
      </c>
      <c r="M397" s="46"/>
      <c r="P397" s="16"/>
    </row>
    <row r="398" spans="5:16" hidden="1" x14ac:dyDescent="0.25">
      <c r="E398" s="43">
        <f>COUNTIF($O$7:O398,FORMULARIO!$AA$2)</f>
        <v>1</v>
      </c>
      <c r="M398" s="46"/>
      <c r="P398" s="16"/>
    </row>
    <row r="399" spans="5:16" hidden="1" x14ac:dyDescent="0.25">
      <c r="E399" s="43">
        <f>COUNTIF($O$7:O399,FORMULARIO!$AA$2)</f>
        <v>1</v>
      </c>
      <c r="M399" s="46"/>
      <c r="P399" s="16"/>
    </row>
    <row r="400" spans="5:16" hidden="1" x14ac:dyDescent="0.25">
      <c r="E400" s="43">
        <f>COUNTIF($O$7:O400,FORMULARIO!$AA$2)</f>
        <v>1</v>
      </c>
      <c r="M400" s="46"/>
      <c r="P400" s="16"/>
    </row>
    <row r="401" spans="5:16" hidden="1" x14ac:dyDescent="0.25">
      <c r="E401" s="43">
        <f>COUNTIF($O$7:O401,FORMULARIO!$AA$2)</f>
        <v>1</v>
      </c>
      <c r="M401" s="46"/>
      <c r="P401" s="16"/>
    </row>
    <row r="402" spans="5:16" hidden="1" x14ac:dyDescent="0.25">
      <c r="E402" s="43">
        <f>COUNTIF($O$7:O402,FORMULARIO!$AA$2)</f>
        <v>1</v>
      </c>
      <c r="M402" s="46"/>
      <c r="P402" s="16"/>
    </row>
    <row r="403" spans="5:16" hidden="1" x14ac:dyDescent="0.25">
      <c r="E403" s="43">
        <f>COUNTIF($O$7:O403,FORMULARIO!$AA$2)</f>
        <v>1</v>
      </c>
      <c r="M403" s="46"/>
      <c r="P403" s="16"/>
    </row>
    <row r="404" spans="5:16" hidden="1" x14ac:dyDescent="0.25">
      <c r="E404" s="43">
        <f>COUNTIF($O$7:O404,FORMULARIO!$AA$2)</f>
        <v>1</v>
      </c>
      <c r="M404" s="46"/>
      <c r="P404" s="16"/>
    </row>
    <row r="405" spans="5:16" hidden="1" x14ac:dyDescent="0.25">
      <c r="E405" s="43">
        <f>COUNTIF($O$7:O405,FORMULARIO!$AA$2)</f>
        <v>1</v>
      </c>
      <c r="M405" s="46"/>
      <c r="P405" s="16"/>
    </row>
    <row r="406" spans="5:16" hidden="1" x14ac:dyDescent="0.25">
      <c r="E406" s="43">
        <f>COUNTIF($O$7:O406,FORMULARIO!$AA$2)</f>
        <v>1</v>
      </c>
      <c r="M406" s="46"/>
      <c r="P406" s="16"/>
    </row>
    <row r="407" spans="5:16" hidden="1" x14ac:dyDescent="0.25">
      <c r="E407" s="43">
        <f>COUNTIF($O$7:O407,FORMULARIO!$AA$2)</f>
        <v>1</v>
      </c>
      <c r="M407" s="46"/>
      <c r="P407" s="16"/>
    </row>
    <row r="408" spans="5:16" hidden="1" x14ac:dyDescent="0.25">
      <c r="E408" s="43">
        <f>COUNTIF($O$7:O408,FORMULARIO!$AA$2)</f>
        <v>1</v>
      </c>
      <c r="M408" s="46"/>
      <c r="P408" s="16"/>
    </row>
    <row r="409" spans="5:16" hidden="1" x14ac:dyDescent="0.25">
      <c r="E409" s="43">
        <f>COUNTIF($O$7:O409,FORMULARIO!$AA$2)</f>
        <v>1</v>
      </c>
      <c r="M409" s="46"/>
      <c r="P409" s="16"/>
    </row>
    <row r="410" spans="5:16" hidden="1" x14ac:dyDescent="0.25">
      <c r="E410" s="43">
        <f>COUNTIF($O$7:O410,FORMULARIO!$AA$2)</f>
        <v>1</v>
      </c>
      <c r="M410" s="46"/>
      <c r="P410" s="16"/>
    </row>
    <row r="411" spans="5:16" hidden="1" x14ac:dyDescent="0.25">
      <c r="E411" s="43">
        <f>COUNTIF($O$7:O411,FORMULARIO!$AA$2)</f>
        <v>1</v>
      </c>
      <c r="M411" s="46"/>
      <c r="P411" s="16"/>
    </row>
    <row r="412" spans="5:16" hidden="1" x14ac:dyDescent="0.25">
      <c r="E412" s="43">
        <f>COUNTIF($O$7:O412,FORMULARIO!$AA$2)</f>
        <v>1</v>
      </c>
      <c r="M412" s="46"/>
      <c r="P412" s="16"/>
    </row>
    <row r="413" spans="5:16" hidden="1" x14ac:dyDescent="0.25">
      <c r="E413" s="43">
        <f>COUNTIF($O$7:O413,FORMULARIO!$AA$2)</f>
        <v>1</v>
      </c>
      <c r="M413" s="46"/>
      <c r="P413" s="16"/>
    </row>
    <row r="414" spans="5:16" hidden="1" x14ac:dyDescent="0.25">
      <c r="E414" s="43">
        <f>COUNTIF($O$7:O414,FORMULARIO!$AA$2)</f>
        <v>1</v>
      </c>
      <c r="M414" s="46"/>
      <c r="P414" s="16"/>
    </row>
    <row r="415" spans="5:16" hidden="1" x14ac:dyDescent="0.25">
      <c r="E415" s="43">
        <f>COUNTIF($O$7:O415,FORMULARIO!$AA$2)</f>
        <v>1</v>
      </c>
      <c r="M415" s="46"/>
      <c r="P415" s="16"/>
    </row>
    <row r="416" spans="5:16" hidden="1" x14ac:dyDescent="0.25">
      <c r="E416" s="43">
        <f>COUNTIF($O$7:O416,FORMULARIO!$AA$2)</f>
        <v>1</v>
      </c>
      <c r="M416" s="46"/>
      <c r="P416" s="16"/>
    </row>
    <row r="417" spans="5:16" hidden="1" x14ac:dyDescent="0.25">
      <c r="E417" s="43">
        <f>COUNTIF($O$7:O417,FORMULARIO!$AA$2)</f>
        <v>1</v>
      </c>
      <c r="M417" s="46"/>
      <c r="P417" s="16"/>
    </row>
    <row r="418" spans="5:16" hidden="1" x14ac:dyDescent="0.25">
      <c r="E418" s="43">
        <f>COUNTIF($O$7:O418,FORMULARIO!$AA$2)</f>
        <v>1</v>
      </c>
      <c r="M418" s="46"/>
      <c r="P418" s="16"/>
    </row>
    <row r="419" spans="5:16" hidden="1" x14ac:dyDescent="0.25">
      <c r="E419" s="43">
        <f>COUNTIF($O$7:O419,FORMULARIO!$AA$2)</f>
        <v>1</v>
      </c>
      <c r="M419" s="46"/>
      <c r="P419" s="16"/>
    </row>
    <row r="420" spans="5:16" hidden="1" x14ac:dyDescent="0.25">
      <c r="E420" s="43">
        <f>COUNTIF($O$7:O420,FORMULARIO!$AA$2)</f>
        <v>1</v>
      </c>
      <c r="M420" s="46"/>
      <c r="P420" s="16"/>
    </row>
    <row r="421" spans="5:16" hidden="1" x14ac:dyDescent="0.25">
      <c r="E421" s="43">
        <f>COUNTIF($O$7:O421,FORMULARIO!$AA$2)</f>
        <v>1</v>
      </c>
      <c r="M421" s="46"/>
      <c r="P421" s="16"/>
    </row>
    <row r="422" spans="5:16" hidden="1" x14ac:dyDescent="0.25">
      <c r="E422" s="43">
        <f>COUNTIF($O$7:O422,FORMULARIO!$AA$2)</f>
        <v>1</v>
      </c>
      <c r="M422" s="46"/>
      <c r="P422" s="16"/>
    </row>
    <row r="423" spans="5:16" hidden="1" x14ac:dyDescent="0.25">
      <c r="E423" s="43">
        <f>COUNTIF($O$7:O423,FORMULARIO!$AA$2)</f>
        <v>1</v>
      </c>
      <c r="M423" s="46"/>
      <c r="P423" s="16"/>
    </row>
    <row r="424" spans="5:16" hidden="1" x14ac:dyDescent="0.25">
      <c r="E424" s="43">
        <f>COUNTIF($O$7:O424,FORMULARIO!$AA$2)</f>
        <v>1</v>
      </c>
      <c r="M424" s="46"/>
      <c r="P424" s="16"/>
    </row>
    <row r="425" spans="5:16" hidden="1" x14ac:dyDescent="0.25">
      <c r="E425" s="43">
        <f>COUNTIF($O$7:O425,FORMULARIO!$AA$2)</f>
        <v>1</v>
      </c>
      <c r="M425" s="46"/>
      <c r="P425" s="16"/>
    </row>
    <row r="426" spans="5:16" hidden="1" x14ac:dyDescent="0.25">
      <c r="E426" s="43">
        <f>COUNTIF($O$7:O426,FORMULARIO!$AA$2)</f>
        <v>1</v>
      </c>
      <c r="M426" s="46"/>
      <c r="P426" s="16"/>
    </row>
    <row r="427" spans="5:16" hidden="1" x14ac:dyDescent="0.25">
      <c r="E427" s="43">
        <f>COUNTIF($O$7:O427,FORMULARIO!$AA$2)</f>
        <v>1</v>
      </c>
      <c r="M427" s="46"/>
      <c r="P427" s="16"/>
    </row>
    <row r="428" spans="5:16" hidden="1" x14ac:dyDescent="0.25">
      <c r="E428" s="43">
        <f>COUNTIF($O$7:O428,FORMULARIO!$AA$2)</f>
        <v>1</v>
      </c>
      <c r="M428" s="46"/>
      <c r="P428" s="16"/>
    </row>
    <row r="429" spans="5:16" hidden="1" x14ac:dyDescent="0.25">
      <c r="E429" s="43">
        <f>COUNTIF($O$7:O429,FORMULARIO!$AA$2)</f>
        <v>1</v>
      </c>
      <c r="M429" s="46"/>
      <c r="P429" s="16"/>
    </row>
    <row r="430" spans="5:16" hidden="1" x14ac:dyDescent="0.25">
      <c r="E430" s="43">
        <f>COUNTIF($O$7:O430,FORMULARIO!$AA$2)</f>
        <v>1</v>
      </c>
      <c r="M430" s="46"/>
      <c r="P430" s="16"/>
    </row>
    <row r="431" spans="5:16" hidden="1" x14ac:dyDescent="0.25">
      <c r="E431" s="43">
        <f>COUNTIF($O$7:O431,FORMULARIO!$AA$2)</f>
        <v>1</v>
      </c>
      <c r="M431" s="46"/>
      <c r="P431" s="16"/>
    </row>
    <row r="432" spans="5:16" hidden="1" x14ac:dyDescent="0.25">
      <c r="E432" s="43">
        <f>COUNTIF($O$7:O432,FORMULARIO!$AA$2)</f>
        <v>1</v>
      </c>
      <c r="M432" s="46"/>
      <c r="P432" s="16"/>
    </row>
    <row r="433" spans="5:16" hidden="1" x14ac:dyDescent="0.25">
      <c r="E433" s="43">
        <f>COUNTIF($O$7:O433,FORMULARIO!$AA$2)</f>
        <v>1</v>
      </c>
      <c r="M433" s="46"/>
      <c r="P433" s="16"/>
    </row>
    <row r="434" spans="5:16" hidden="1" x14ac:dyDescent="0.25">
      <c r="E434" s="43">
        <f>COUNTIF($O$7:O434,FORMULARIO!$AA$2)</f>
        <v>1</v>
      </c>
      <c r="M434" s="46"/>
      <c r="P434" s="16"/>
    </row>
    <row r="435" spans="5:16" hidden="1" x14ac:dyDescent="0.25">
      <c r="E435" s="43">
        <f>COUNTIF($O$7:O435,FORMULARIO!$AA$2)</f>
        <v>1</v>
      </c>
      <c r="M435" s="46"/>
      <c r="P435" s="16"/>
    </row>
    <row r="436" spans="5:16" hidden="1" x14ac:dyDescent="0.25">
      <c r="E436" s="43">
        <f>COUNTIF($O$7:O436,FORMULARIO!$AA$2)</f>
        <v>1</v>
      </c>
      <c r="M436" s="46"/>
      <c r="P436" s="16"/>
    </row>
    <row r="437" spans="5:16" hidden="1" x14ac:dyDescent="0.25">
      <c r="E437" s="43">
        <f>COUNTIF($O$7:O437,FORMULARIO!$AA$2)</f>
        <v>1</v>
      </c>
      <c r="M437" s="46"/>
      <c r="P437" s="16"/>
    </row>
    <row r="438" spans="5:16" hidden="1" x14ac:dyDescent="0.25">
      <c r="E438" s="43">
        <f>COUNTIF($O$7:O438,FORMULARIO!$AA$2)</f>
        <v>1</v>
      </c>
      <c r="M438" s="46"/>
      <c r="P438" s="16"/>
    </row>
    <row r="439" spans="5:16" hidden="1" x14ac:dyDescent="0.25">
      <c r="E439" s="43">
        <f>COUNTIF($O$7:O439,FORMULARIO!$AA$2)</f>
        <v>1</v>
      </c>
      <c r="M439" s="46"/>
      <c r="P439" s="16"/>
    </row>
    <row r="440" spans="5:16" hidden="1" x14ac:dyDescent="0.25">
      <c r="E440" s="43">
        <f>COUNTIF($O$7:O440,FORMULARIO!$AA$2)</f>
        <v>1</v>
      </c>
      <c r="M440" s="46"/>
      <c r="P440" s="16"/>
    </row>
    <row r="441" spans="5:16" hidden="1" x14ac:dyDescent="0.25">
      <c r="E441" s="43">
        <f>COUNTIF($O$7:O441,FORMULARIO!$AA$2)</f>
        <v>1</v>
      </c>
      <c r="M441" s="46"/>
      <c r="P441" s="16"/>
    </row>
    <row r="442" spans="5:16" hidden="1" x14ac:dyDescent="0.25">
      <c r="E442" s="43">
        <f>COUNTIF($O$7:O442,FORMULARIO!$AA$2)</f>
        <v>1</v>
      </c>
      <c r="M442" s="46"/>
      <c r="P442" s="16"/>
    </row>
    <row r="443" spans="5:16" hidden="1" x14ac:dyDescent="0.25">
      <c r="E443" s="43">
        <f>COUNTIF($O$7:O443,FORMULARIO!$AA$2)</f>
        <v>1</v>
      </c>
      <c r="M443" s="46"/>
      <c r="P443" s="16"/>
    </row>
    <row r="444" spans="5:16" hidden="1" x14ac:dyDescent="0.25">
      <c r="E444" s="43">
        <f>COUNTIF($O$7:O444,FORMULARIO!$AA$2)</f>
        <v>1</v>
      </c>
      <c r="M444" s="46"/>
      <c r="P444" s="16"/>
    </row>
    <row r="445" spans="5:16" hidden="1" x14ac:dyDescent="0.25">
      <c r="E445" s="43">
        <f>COUNTIF($O$7:O445,FORMULARIO!$AA$2)</f>
        <v>1</v>
      </c>
      <c r="M445" s="46"/>
      <c r="P445" s="16"/>
    </row>
    <row r="446" spans="5:16" hidden="1" x14ac:dyDescent="0.25">
      <c r="E446" s="43">
        <f>COUNTIF($O$7:O446,FORMULARIO!$AA$2)</f>
        <v>1</v>
      </c>
      <c r="M446" s="46"/>
      <c r="P446" s="16"/>
    </row>
    <row r="447" spans="5:16" hidden="1" x14ac:dyDescent="0.25">
      <c r="E447" s="43">
        <f>COUNTIF($O$7:O447,FORMULARIO!$AA$2)</f>
        <v>1</v>
      </c>
      <c r="M447" s="46"/>
      <c r="P447" s="16"/>
    </row>
    <row r="448" spans="5:16" hidden="1" x14ac:dyDescent="0.25">
      <c r="E448" s="43">
        <f>COUNTIF($O$7:O448,FORMULARIO!$AA$2)</f>
        <v>1</v>
      </c>
      <c r="M448" s="46"/>
      <c r="P448" s="16"/>
    </row>
    <row r="449" spans="5:16" hidden="1" x14ac:dyDescent="0.25">
      <c r="E449" s="43">
        <f>COUNTIF($O$7:O449,FORMULARIO!$AA$2)</f>
        <v>1</v>
      </c>
      <c r="M449" s="46"/>
      <c r="P449" s="16"/>
    </row>
    <row r="450" spans="5:16" hidden="1" x14ac:dyDescent="0.25">
      <c r="E450" s="43">
        <f>COUNTIF($O$7:O450,FORMULARIO!$AA$2)</f>
        <v>1</v>
      </c>
      <c r="M450" s="46"/>
      <c r="P450" s="16"/>
    </row>
    <row r="451" spans="5:16" hidden="1" x14ac:dyDescent="0.25">
      <c r="E451" s="43">
        <f>COUNTIF($O$7:O451,FORMULARIO!$AA$2)</f>
        <v>1</v>
      </c>
      <c r="M451" s="46"/>
      <c r="P451" s="16"/>
    </row>
    <row r="452" spans="5:16" hidden="1" x14ac:dyDescent="0.25">
      <c r="E452" s="43">
        <f>COUNTIF($O$7:O452,FORMULARIO!$AA$2)</f>
        <v>1</v>
      </c>
      <c r="M452" s="46"/>
      <c r="P452" s="16"/>
    </row>
    <row r="453" spans="5:16" hidden="1" x14ac:dyDescent="0.25">
      <c r="E453" s="43">
        <f>COUNTIF($O$7:O453,FORMULARIO!$AA$2)</f>
        <v>1</v>
      </c>
      <c r="M453" s="46"/>
      <c r="P453" s="16"/>
    </row>
    <row r="454" spans="5:16" hidden="1" x14ac:dyDescent="0.25">
      <c r="E454" s="43">
        <f>COUNTIF($O$7:O454,FORMULARIO!$AA$2)</f>
        <v>1</v>
      </c>
      <c r="M454" s="46"/>
      <c r="P454" s="16"/>
    </row>
    <row r="455" spans="5:16" hidden="1" x14ac:dyDescent="0.25">
      <c r="E455" s="43">
        <f>COUNTIF($O$7:O455,FORMULARIO!$AA$2)</f>
        <v>1</v>
      </c>
      <c r="M455" s="46"/>
      <c r="P455" s="16"/>
    </row>
    <row r="456" spans="5:16" hidden="1" x14ac:dyDescent="0.25">
      <c r="E456" s="43">
        <f>COUNTIF($O$7:O456,FORMULARIO!$AA$2)</f>
        <v>1</v>
      </c>
      <c r="M456" s="46"/>
      <c r="P456" s="16"/>
    </row>
    <row r="457" spans="5:16" hidden="1" x14ac:dyDescent="0.25">
      <c r="E457" s="43">
        <f>COUNTIF($O$7:O457,FORMULARIO!$AA$2)</f>
        <v>1</v>
      </c>
      <c r="M457" s="46"/>
      <c r="P457" s="16"/>
    </row>
    <row r="458" spans="5:16" hidden="1" x14ac:dyDescent="0.25">
      <c r="E458" s="43">
        <f>COUNTIF($O$7:O458,FORMULARIO!$AA$2)</f>
        <v>1</v>
      </c>
      <c r="M458" s="46"/>
      <c r="P458" s="16"/>
    </row>
    <row r="459" spans="5:16" hidden="1" x14ac:dyDescent="0.25">
      <c r="E459" s="43">
        <f>COUNTIF($O$7:O459,FORMULARIO!$AA$2)</f>
        <v>1</v>
      </c>
      <c r="M459" s="46"/>
      <c r="P459" s="16"/>
    </row>
    <row r="460" spans="5:16" hidden="1" x14ac:dyDescent="0.25">
      <c r="E460" s="43">
        <f>COUNTIF($O$7:O460,FORMULARIO!$AA$2)</f>
        <v>1</v>
      </c>
      <c r="M460" s="46"/>
      <c r="P460" s="16"/>
    </row>
    <row r="461" spans="5:16" hidden="1" x14ac:dyDescent="0.25">
      <c r="E461" s="43">
        <f>COUNTIF($O$7:O461,FORMULARIO!$AA$2)</f>
        <v>1</v>
      </c>
      <c r="M461" s="46"/>
      <c r="P461" s="16"/>
    </row>
    <row r="462" spans="5:16" hidden="1" x14ac:dyDescent="0.25">
      <c r="E462" s="43">
        <f>COUNTIF($O$7:O462,FORMULARIO!$AA$2)</f>
        <v>1</v>
      </c>
      <c r="M462" s="46"/>
      <c r="P462" s="16"/>
    </row>
    <row r="463" spans="5:16" hidden="1" x14ac:dyDescent="0.25">
      <c r="E463" s="43">
        <f>COUNTIF($O$7:O463,FORMULARIO!$AA$2)</f>
        <v>1</v>
      </c>
      <c r="M463" s="46"/>
      <c r="P463" s="16"/>
    </row>
    <row r="464" spans="5:16" hidden="1" x14ac:dyDescent="0.25">
      <c r="E464" s="43">
        <f>COUNTIF($O$7:O464,FORMULARIO!$AA$2)</f>
        <v>1</v>
      </c>
      <c r="M464" s="46"/>
      <c r="P464" s="16"/>
    </row>
    <row r="465" spans="5:16" hidden="1" x14ac:dyDescent="0.25">
      <c r="E465" s="43">
        <f>COUNTIF($O$7:O465,FORMULARIO!$AA$2)</f>
        <v>1</v>
      </c>
      <c r="M465" s="46"/>
      <c r="P465" s="16"/>
    </row>
    <row r="466" spans="5:16" hidden="1" x14ac:dyDescent="0.25">
      <c r="E466" s="43">
        <f>COUNTIF($O$7:O466,FORMULARIO!$AA$2)</f>
        <v>1</v>
      </c>
      <c r="M466" s="46"/>
      <c r="P466" s="16"/>
    </row>
    <row r="467" spans="5:16" hidden="1" x14ac:dyDescent="0.25">
      <c r="E467" s="43">
        <f>COUNTIF($O$7:O467,FORMULARIO!$AA$2)</f>
        <v>1</v>
      </c>
      <c r="M467" s="46"/>
      <c r="P467" s="16"/>
    </row>
    <row r="468" spans="5:16" hidden="1" x14ac:dyDescent="0.25">
      <c r="E468" s="43">
        <f>COUNTIF($O$7:O468,FORMULARIO!$AA$2)</f>
        <v>1</v>
      </c>
      <c r="M468" s="46"/>
      <c r="P468" s="16"/>
    </row>
    <row r="469" spans="5:16" hidden="1" x14ac:dyDescent="0.25">
      <c r="E469" s="43">
        <f>COUNTIF($O$7:O469,FORMULARIO!$AA$2)</f>
        <v>1</v>
      </c>
      <c r="M469" s="46"/>
      <c r="P469" s="16"/>
    </row>
    <row r="470" spans="5:16" hidden="1" x14ac:dyDescent="0.25">
      <c r="E470" s="43">
        <f>COUNTIF($O$7:O470,FORMULARIO!$AA$2)</f>
        <v>1</v>
      </c>
      <c r="M470" s="46"/>
      <c r="P470" s="16"/>
    </row>
    <row r="471" spans="5:16" hidden="1" x14ac:dyDescent="0.25">
      <c r="E471" s="43">
        <f>COUNTIF($O$7:O471,FORMULARIO!$AA$2)</f>
        <v>1</v>
      </c>
      <c r="M471" s="46"/>
      <c r="P471" s="16"/>
    </row>
    <row r="472" spans="5:16" hidden="1" x14ac:dyDescent="0.25">
      <c r="E472" s="43">
        <f>COUNTIF($O$7:O472,FORMULARIO!$AA$2)</f>
        <v>1</v>
      </c>
      <c r="M472" s="46"/>
      <c r="P472" s="16"/>
    </row>
    <row r="473" spans="5:16" hidden="1" x14ac:dyDescent="0.25">
      <c r="E473" s="43">
        <f>COUNTIF($O$7:O473,FORMULARIO!$AA$2)</f>
        <v>1</v>
      </c>
      <c r="M473" s="46"/>
      <c r="P473" s="16"/>
    </row>
    <row r="474" spans="5:16" hidden="1" x14ac:dyDescent="0.25">
      <c r="E474" s="43">
        <f>COUNTIF($O$7:O474,FORMULARIO!$AA$2)</f>
        <v>1</v>
      </c>
      <c r="M474" s="46"/>
      <c r="P474" s="16"/>
    </row>
    <row r="475" spans="5:16" hidden="1" x14ac:dyDescent="0.25">
      <c r="E475" s="43">
        <f>COUNTIF($O$7:O475,FORMULARIO!$AA$2)</f>
        <v>1</v>
      </c>
      <c r="M475" s="46"/>
      <c r="P475" s="16"/>
    </row>
    <row r="476" spans="5:16" hidden="1" x14ac:dyDescent="0.25">
      <c r="E476" s="43">
        <f>COUNTIF($O$7:O476,FORMULARIO!$AA$2)</f>
        <v>1</v>
      </c>
      <c r="M476" s="46"/>
      <c r="P476" s="16"/>
    </row>
    <row r="477" spans="5:16" hidden="1" x14ac:dyDescent="0.25">
      <c r="E477" s="43">
        <f>COUNTIF($O$7:O477,FORMULARIO!$AA$2)</f>
        <v>1</v>
      </c>
      <c r="M477" s="46"/>
      <c r="P477" s="16"/>
    </row>
    <row r="478" spans="5:16" hidden="1" x14ac:dyDescent="0.25">
      <c r="E478" s="43">
        <f>COUNTIF($O$7:O478,FORMULARIO!$AA$2)</f>
        <v>1</v>
      </c>
      <c r="M478" s="46"/>
      <c r="P478" s="16"/>
    </row>
    <row r="479" spans="5:16" hidden="1" x14ac:dyDescent="0.25">
      <c r="E479" s="43">
        <f>COUNTIF($O$7:O479,FORMULARIO!$AA$2)</f>
        <v>1</v>
      </c>
      <c r="M479" s="46"/>
      <c r="P479" s="16"/>
    </row>
    <row r="480" spans="5:16" hidden="1" x14ac:dyDescent="0.25">
      <c r="E480" s="43">
        <f>COUNTIF($O$7:O480,FORMULARIO!$AA$2)</f>
        <v>1</v>
      </c>
      <c r="M480" s="46"/>
      <c r="P480" s="16"/>
    </row>
    <row r="481" spans="5:16" hidden="1" x14ac:dyDescent="0.25">
      <c r="E481" s="43">
        <f>COUNTIF($O$7:O481,FORMULARIO!$AA$2)</f>
        <v>1</v>
      </c>
      <c r="M481" s="46"/>
      <c r="P481" s="16"/>
    </row>
    <row r="482" spans="5:16" hidden="1" x14ac:dyDescent="0.25">
      <c r="E482" s="43">
        <f>COUNTIF($O$7:O482,FORMULARIO!$AA$2)</f>
        <v>1</v>
      </c>
      <c r="M482" s="46"/>
      <c r="P482" s="16"/>
    </row>
    <row r="483" spans="5:16" hidden="1" x14ac:dyDescent="0.25">
      <c r="E483" s="43">
        <f>COUNTIF($O$7:O483,FORMULARIO!$AA$2)</f>
        <v>1</v>
      </c>
      <c r="M483" s="46"/>
      <c r="P483" s="16"/>
    </row>
    <row r="484" spans="5:16" hidden="1" x14ac:dyDescent="0.25">
      <c r="E484" s="43">
        <f>COUNTIF($O$7:O484,FORMULARIO!$AA$2)</f>
        <v>1</v>
      </c>
      <c r="M484" s="46"/>
      <c r="P484" s="16"/>
    </row>
    <row r="485" spans="5:16" hidden="1" x14ac:dyDescent="0.25">
      <c r="E485" s="43">
        <f>COUNTIF($O$7:O485,FORMULARIO!$AA$2)</f>
        <v>1</v>
      </c>
      <c r="M485" s="46"/>
      <c r="P485" s="16"/>
    </row>
    <row r="486" spans="5:16" hidden="1" x14ac:dyDescent="0.25">
      <c r="E486" s="43">
        <f>COUNTIF($O$7:O486,FORMULARIO!$AA$2)</f>
        <v>1</v>
      </c>
      <c r="M486" s="46"/>
      <c r="P486" s="16"/>
    </row>
    <row r="487" spans="5:16" hidden="1" x14ac:dyDescent="0.25">
      <c r="E487" s="43">
        <f>COUNTIF($O$7:O487,FORMULARIO!$AA$2)</f>
        <v>1</v>
      </c>
      <c r="M487" s="46"/>
      <c r="P487" s="16"/>
    </row>
    <row r="488" spans="5:16" hidden="1" x14ac:dyDescent="0.25">
      <c r="E488" s="43">
        <f>COUNTIF($O$7:O488,FORMULARIO!$AA$2)</f>
        <v>1</v>
      </c>
      <c r="M488" s="46"/>
      <c r="P488" s="16"/>
    </row>
    <row r="489" spans="5:16" hidden="1" x14ac:dyDescent="0.25">
      <c r="E489" s="43">
        <f>COUNTIF($O$7:O489,FORMULARIO!$AA$2)</f>
        <v>1</v>
      </c>
      <c r="M489" s="46"/>
      <c r="P489" s="16"/>
    </row>
    <row r="490" spans="5:16" hidden="1" x14ac:dyDescent="0.25">
      <c r="E490" s="43">
        <f>COUNTIF($O$7:O490,FORMULARIO!$AA$2)</f>
        <v>1</v>
      </c>
      <c r="M490" s="46"/>
      <c r="P490" s="16"/>
    </row>
    <row r="491" spans="5:16" hidden="1" x14ac:dyDescent="0.25">
      <c r="E491" s="43">
        <f>COUNTIF($O$7:O491,FORMULARIO!$AA$2)</f>
        <v>1</v>
      </c>
      <c r="M491" s="46"/>
      <c r="P491" s="16"/>
    </row>
    <row r="492" spans="5:16" hidden="1" x14ac:dyDescent="0.25">
      <c r="E492" s="43">
        <f>COUNTIF($O$7:O492,FORMULARIO!$AA$2)</f>
        <v>1</v>
      </c>
      <c r="M492" s="46"/>
      <c r="P492" s="16"/>
    </row>
    <row r="493" spans="5:16" hidden="1" x14ac:dyDescent="0.25">
      <c r="E493" s="43">
        <f>COUNTIF($O$7:O493,FORMULARIO!$AA$2)</f>
        <v>1</v>
      </c>
      <c r="M493" s="46"/>
      <c r="P493" s="16"/>
    </row>
    <row r="494" spans="5:16" hidden="1" x14ac:dyDescent="0.25">
      <c r="E494" s="43">
        <f>COUNTIF($O$7:O494,FORMULARIO!$AA$2)</f>
        <v>1</v>
      </c>
      <c r="M494" s="46"/>
      <c r="P494" s="16"/>
    </row>
    <row r="495" spans="5:16" hidden="1" x14ac:dyDescent="0.25">
      <c r="E495" s="43">
        <f>COUNTIF($O$7:O495,FORMULARIO!$AA$2)</f>
        <v>1</v>
      </c>
      <c r="M495" s="46"/>
      <c r="P495" s="16"/>
    </row>
    <row r="496" spans="5:16" hidden="1" x14ac:dyDescent="0.25">
      <c r="E496" s="43">
        <f>COUNTIF($O$7:O496,FORMULARIO!$AA$2)</f>
        <v>1</v>
      </c>
      <c r="M496" s="46"/>
      <c r="P496" s="16"/>
    </row>
    <row r="497" spans="5:16" hidden="1" x14ac:dyDescent="0.25">
      <c r="E497" s="43">
        <f>COUNTIF($O$7:O497,FORMULARIO!$AA$2)</f>
        <v>1</v>
      </c>
      <c r="M497" s="46"/>
      <c r="P497" s="16"/>
    </row>
    <row r="498" spans="5:16" hidden="1" x14ac:dyDescent="0.25">
      <c r="E498" s="43">
        <f>COUNTIF($O$7:O498,FORMULARIO!$AA$2)</f>
        <v>1</v>
      </c>
      <c r="M498" s="46"/>
      <c r="P498" s="16"/>
    </row>
    <row r="499" spans="5:16" hidden="1" x14ac:dyDescent="0.25">
      <c r="E499" s="43">
        <f>COUNTIF($O$7:O499,FORMULARIO!$AA$2)</f>
        <v>1</v>
      </c>
      <c r="M499" s="46"/>
      <c r="P499" s="16"/>
    </row>
    <row r="500" spans="5:16" hidden="1" x14ac:dyDescent="0.25">
      <c r="E500" s="43">
        <f>COUNTIF($O$7:O500,FORMULARIO!$AA$2)</f>
        <v>1</v>
      </c>
      <c r="M500" s="46"/>
      <c r="P500" s="16"/>
    </row>
    <row r="501" spans="5:16" hidden="1" x14ac:dyDescent="0.25">
      <c r="E501" s="43">
        <f>COUNTIF($O$7:O501,FORMULARIO!$AA$2)</f>
        <v>1</v>
      </c>
      <c r="M501" s="46"/>
      <c r="P501" s="16"/>
    </row>
    <row r="502" spans="5:16" hidden="1" x14ac:dyDescent="0.25">
      <c r="E502" s="43">
        <f>COUNTIF($O$7:O502,FORMULARIO!$AA$2)</f>
        <v>1</v>
      </c>
      <c r="M502" s="46"/>
      <c r="P502" s="16"/>
    </row>
    <row r="503" spans="5:16" hidden="1" x14ac:dyDescent="0.25">
      <c r="E503" s="43">
        <f>COUNTIF($O$7:O503,FORMULARIO!$AA$2)</f>
        <v>1</v>
      </c>
      <c r="M503" s="46"/>
      <c r="P503" s="16"/>
    </row>
    <row r="504" spans="5:16" hidden="1" x14ac:dyDescent="0.25">
      <c r="E504" s="43">
        <f>COUNTIF($O$7:O504,FORMULARIO!$AA$2)</f>
        <v>1</v>
      </c>
      <c r="M504" s="46"/>
      <c r="P504" s="16"/>
    </row>
    <row r="505" spans="5:16" hidden="1" x14ac:dyDescent="0.25">
      <c r="E505" s="43">
        <f>COUNTIF($O$7:O505,FORMULARIO!$AA$2)</f>
        <v>1</v>
      </c>
      <c r="M505" s="46"/>
      <c r="P505" s="16"/>
    </row>
    <row r="506" spans="5:16" hidden="1" x14ac:dyDescent="0.25">
      <c r="E506" s="43">
        <f>COUNTIF($O$7:O506,FORMULARIO!$AA$2)</f>
        <v>1</v>
      </c>
      <c r="M506" s="46"/>
      <c r="P506" s="16"/>
    </row>
    <row r="507" spans="5:16" hidden="1" x14ac:dyDescent="0.25">
      <c r="E507" s="43">
        <f>COUNTIF($O$7:O507,FORMULARIO!$AA$2)</f>
        <v>1</v>
      </c>
      <c r="M507" s="46"/>
      <c r="P507" s="16"/>
    </row>
    <row r="508" spans="5:16" hidden="1" x14ac:dyDescent="0.25">
      <c r="E508" s="43">
        <f>COUNTIF($O$7:O508,FORMULARIO!$AA$2)</f>
        <v>1</v>
      </c>
      <c r="M508" s="46"/>
      <c r="P508" s="16"/>
    </row>
    <row r="509" spans="5:16" hidden="1" x14ac:dyDescent="0.25">
      <c r="E509" s="43">
        <f>COUNTIF($O$7:O509,FORMULARIO!$AA$2)</f>
        <v>1</v>
      </c>
      <c r="M509" s="46"/>
      <c r="P509" s="16"/>
    </row>
    <row r="510" spans="5:16" hidden="1" x14ac:dyDescent="0.25">
      <c r="E510" s="43">
        <f>COUNTIF($O$7:O510,FORMULARIO!$AA$2)</f>
        <v>1</v>
      </c>
      <c r="M510" s="46"/>
      <c r="P510" s="16"/>
    </row>
    <row r="511" spans="5:16" hidden="1" x14ac:dyDescent="0.25">
      <c r="E511" s="43">
        <f>COUNTIF($O$7:O511,FORMULARIO!$AA$2)</f>
        <v>1</v>
      </c>
      <c r="M511" s="46"/>
      <c r="P511" s="16"/>
    </row>
    <row r="512" spans="5:16" hidden="1" x14ac:dyDescent="0.25">
      <c r="E512" s="43">
        <f>COUNTIF($O$7:O512,FORMULARIO!$AA$2)</f>
        <v>1</v>
      </c>
      <c r="M512" s="46"/>
      <c r="P512" s="16"/>
    </row>
    <row r="513" spans="5:16" hidden="1" x14ac:dyDescent="0.25">
      <c r="E513" s="43">
        <f>COUNTIF($O$7:O513,FORMULARIO!$AA$2)</f>
        <v>1</v>
      </c>
      <c r="M513" s="46"/>
      <c r="P513" s="16"/>
    </row>
    <row r="514" spans="5:16" hidden="1" x14ac:dyDescent="0.25">
      <c r="E514" s="43">
        <f>COUNTIF($O$7:O514,FORMULARIO!$AA$2)</f>
        <v>1</v>
      </c>
      <c r="M514" s="46"/>
      <c r="P514" s="16"/>
    </row>
    <row r="515" spans="5:16" hidden="1" x14ac:dyDescent="0.25">
      <c r="E515" s="43">
        <f>COUNTIF($O$7:O515,FORMULARIO!$AA$2)</f>
        <v>1</v>
      </c>
      <c r="M515" s="46"/>
      <c r="P515" s="16"/>
    </row>
    <row r="516" spans="5:16" hidden="1" x14ac:dyDescent="0.25">
      <c r="E516" s="43">
        <f>COUNTIF($O$7:O516,FORMULARIO!$AA$2)</f>
        <v>1</v>
      </c>
      <c r="M516" s="46"/>
      <c r="P516" s="16"/>
    </row>
    <row r="517" spans="5:16" hidden="1" x14ac:dyDescent="0.25">
      <c r="E517" s="43">
        <f>COUNTIF($O$7:O517,FORMULARIO!$AA$2)</f>
        <v>1</v>
      </c>
      <c r="M517" s="46"/>
      <c r="P517" s="16"/>
    </row>
    <row r="518" spans="5:16" hidden="1" x14ac:dyDescent="0.25">
      <c r="E518" s="43">
        <f>COUNTIF($O$7:O518,FORMULARIO!$AA$2)</f>
        <v>1</v>
      </c>
      <c r="M518" s="46"/>
      <c r="P518" s="16"/>
    </row>
    <row r="519" spans="5:16" hidden="1" x14ac:dyDescent="0.25">
      <c r="E519" s="43">
        <f>COUNTIF($O$7:O519,FORMULARIO!$AA$2)</f>
        <v>1</v>
      </c>
      <c r="M519" s="46"/>
      <c r="P519" s="16"/>
    </row>
    <row r="520" spans="5:16" hidden="1" x14ac:dyDescent="0.25">
      <c r="E520" s="43">
        <f>COUNTIF($O$7:O520,FORMULARIO!$AA$2)</f>
        <v>1</v>
      </c>
      <c r="M520" s="46"/>
      <c r="P520" s="16"/>
    </row>
    <row r="521" spans="5:16" hidden="1" x14ac:dyDescent="0.25">
      <c r="E521" s="43">
        <f>COUNTIF($O$7:O521,FORMULARIO!$AA$2)</f>
        <v>1</v>
      </c>
      <c r="M521" s="46"/>
      <c r="P521" s="16"/>
    </row>
    <row r="522" spans="5:16" hidden="1" x14ac:dyDescent="0.25">
      <c r="E522" s="43">
        <f>COUNTIF($O$7:O522,FORMULARIO!$AA$2)</f>
        <v>1</v>
      </c>
      <c r="M522" s="46"/>
      <c r="P522" s="16"/>
    </row>
    <row r="523" spans="5:16" hidden="1" x14ac:dyDescent="0.25">
      <c r="E523" s="43">
        <f>COUNTIF($O$7:O523,FORMULARIO!$AA$2)</f>
        <v>1</v>
      </c>
      <c r="M523" s="46"/>
      <c r="P523" s="16"/>
    </row>
    <row r="524" spans="5:16" hidden="1" x14ac:dyDescent="0.25">
      <c r="E524" s="43">
        <f>COUNTIF($O$7:O524,FORMULARIO!$AA$2)</f>
        <v>1</v>
      </c>
      <c r="M524" s="46"/>
      <c r="P524" s="16"/>
    </row>
    <row r="525" spans="5:16" hidden="1" x14ac:dyDescent="0.25">
      <c r="E525" s="43">
        <f>COUNTIF($O$7:O525,FORMULARIO!$AA$2)</f>
        <v>1</v>
      </c>
      <c r="M525" s="46"/>
      <c r="P525" s="16"/>
    </row>
    <row r="526" spans="5:16" hidden="1" x14ac:dyDescent="0.25">
      <c r="E526" s="43">
        <f>COUNTIF($O$7:O526,FORMULARIO!$AA$2)</f>
        <v>1</v>
      </c>
      <c r="M526" s="46"/>
      <c r="P526" s="16"/>
    </row>
    <row r="527" spans="5:16" hidden="1" x14ac:dyDescent="0.25">
      <c r="E527" s="43">
        <f>COUNTIF($O$7:O527,FORMULARIO!$AA$2)</f>
        <v>1</v>
      </c>
      <c r="M527" s="46"/>
      <c r="P527" s="16"/>
    </row>
    <row r="528" spans="5:16" hidden="1" x14ac:dyDescent="0.25">
      <c r="E528" s="43">
        <f>COUNTIF($O$7:O528,FORMULARIO!$AA$2)</f>
        <v>1</v>
      </c>
      <c r="M528" s="46"/>
      <c r="P528" s="16"/>
    </row>
    <row r="529" spans="5:16" hidden="1" x14ac:dyDescent="0.25">
      <c r="E529" s="43">
        <f>COUNTIF($O$7:O529,FORMULARIO!$AA$2)</f>
        <v>1</v>
      </c>
      <c r="M529" s="46"/>
      <c r="P529" s="16"/>
    </row>
    <row r="530" spans="5:16" hidden="1" x14ac:dyDescent="0.25">
      <c r="E530" s="43">
        <f>COUNTIF($O$7:O530,FORMULARIO!$AA$2)</f>
        <v>1</v>
      </c>
      <c r="M530" s="46"/>
      <c r="P530" s="16"/>
    </row>
    <row r="531" spans="5:16" hidden="1" x14ac:dyDescent="0.25">
      <c r="E531" s="43">
        <f>COUNTIF($O$7:O531,FORMULARIO!$AA$2)</f>
        <v>1</v>
      </c>
      <c r="M531" s="46"/>
      <c r="P531" s="16"/>
    </row>
    <row r="532" spans="5:16" hidden="1" x14ac:dyDescent="0.25">
      <c r="E532" s="43">
        <f>COUNTIF($O$7:O532,FORMULARIO!$AA$2)</f>
        <v>1</v>
      </c>
      <c r="M532" s="46"/>
      <c r="P532" s="16"/>
    </row>
    <row r="533" spans="5:16" hidden="1" x14ac:dyDescent="0.25">
      <c r="E533" s="43">
        <f>COUNTIF($O$7:O533,FORMULARIO!$AA$2)</f>
        <v>1</v>
      </c>
      <c r="M533" s="46"/>
      <c r="P533" s="16"/>
    </row>
    <row r="534" spans="5:16" hidden="1" x14ac:dyDescent="0.25">
      <c r="E534" s="43">
        <f>COUNTIF($O$7:O534,FORMULARIO!$AA$2)</f>
        <v>1</v>
      </c>
      <c r="M534" s="46"/>
      <c r="P534" s="16"/>
    </row>
    <row r="535" spans="5:16" hidden="1" x14ac:dyDescent="0.25">
      <c r="E535" s="43">
        <f>COUNTIF($O$7:O535,FORMULARIO!$AA$2)</f>
        <v>1</v>
      </c>
      <c r="M535" s="46"/>
      <c r="P535" s="16"/>
    </row>
    <row r="536" spans="5:16" hidden="1" x14ac:dyDescent="0.25">
      <c r="E536" s="43">
        <f>COUNTIF($O$7:O536,FORMULARIO!$AA$2)</f>
        <v>1</v>
      </c>
      <c r="M536" s="46"/>
      <c r="P536" s="16"/>
    </row>
    <row r="537" spans="5:16" hidden="1" x14ac:dyDescent="0.25">
      <c r="E537" s="43">
        <f>COUNTIF($O$7:O537,FORMULARIO!$AA$2)</f>
        <v>1</v>
      </c>
      <c r="M537" s="46"/>
      <c r="P537" s="16"/>
    </row>
    <row r="538" spans="5:16" hidden="1" x14ac:dyDescent="0.25">
      <c r="E538" s="43">
        <f>COUNTIF($O$7:O538,FORMULARIO!$AA$2)</f>
        <v>1</v>
      </c>
      <c r="M538" s="46"/>
      <c r="P538" s="16"/>
    </row>
    <row r="539" spans="5:16" hidden="1" x14ac:dyDescent="0.25">
      <c r="E539" s="43">
        <f>COUNTIF($O$7:O539,FORMULARIO!$AA$2)</f>
        <v>1</v>
      </c>
      <c r="M539" s="46"/>
      <c r="P539" s="16"/>
    </row>
    <row r="540" spans="5:16" hidden="1" x14ac:dyDescent="0.25">
      <c r="E540" s="43">
        <f>COUNTIF($O$7:O540,FORMULARIO!$AA$2)</f>
        <v>1</v>
      </c>
      <c r="M540" s="46"/>
      <c r="P540" s="16"/>
    </row>
    <row r="541" spans="5:16" hidden="1" x14ac:dyDescent="0.25">
      <c r="E541" s="43">
        <f>COUNTIF($O$7:O541,FORMULARIO!$AA$2)</f>
        <v>1</v>
      </c>
      <c r="M541" s="46"/>
      <c r="P541" s="16"/>
    </row>
    <row r="542" spans="5:16" hidden="1" x14ac:dyDescent="0.25">
      <c r="E542" s="43">
        <f>COUNTIF($O$7:O542,FORMULARIO!$AA$2)</f>
        <v>1</v>
      </c>
      <c r="M542" s="46"/>
      <c r="P542" s="16"/>
    </row>
    <row r="543" spans="5:16" hidden="1" x14ac:dyDescent="0.25">
      <c r="E543" s="43">
        <f>COUNTIF($O$7:O543,FORMULARIO!$AA$2)</f>
        <v>1</v>
      </c>
      <c r="M543" s="46"/>
      <c r="P543" s="16"/>
    </row>
    <row r="544" spans="5:16" hidden="1" x14ac:dyDescent="0.25">
      <c r="E544" s="43">
        <f>COUNTIF($O$7:O544,FORMULARIO!$AA$2)</f>
        <v>1</v>
      </c>
      <c r="M544" s="46"/>
      <c r="P544" s="16"/>
    </row>
    <row r="545" spans="5:16" hidden="1" x14ac:dyDescent="0.25">
      <c r="E545" s="43">
        <f>COUNTIF($O$7:O545,FORMULARIO!$AA$2)</f>
        <v>1</v>
      </c>
      <c r="M545" s="46"/>
      <c r="P545" s="16"/>
    </row>
    <row r="546" spans="5:16" hidden="1" x14ac:dyDescent="0.25">
      <c r="E546" s="43">
        <f>COUNTIF($O$7:O546,FORMULARIO!$AA$2)</f>
        <v>1</v>
      </c>
      <c r="M546" s="46"/>
      <c r="P546" s="16"/>
    </row>
    <row r="547" spans="5:16" hidden="1" x14ac:dyDescent="0.25">
      <c r="E547" s="43">
        <f>COUNTIF($O$7:O547,FORMULARIO!$AA$2)</f>
        <v>1</v>
      </c>
      <c r="M547" s="46"/>
      <c r="P547" s="16"/>
    </row>
    <row r="548" spans="5:16" hidden="1" x14ac:dyDescent="0.25">
      <c r="E548" s="43">
        <f>COUNTIF($O$7:O548,FORMULARIO!$AA$2)</f>
        <v>1</v>
      </c>
      <c r="M548" s="46"/>
      <c r="P548" s="16"/>
    </row>
    <row r="549" spans="5:16" hidden="1" x14ac:dyDescent="0.25">
      <c r="E549" s="43">
        <f>COUNTIF($O$7:O549,FORMULARIO!$AA$2)</f>
        <v>1</v>
      </c>
      <c r="M549" s="46"/>
      <c r="P549" s="16"/>
    </row>
    <row r="550" spans="5:16" hidden="1" x14ac:dyDescent="0.25">
      <c r="E550" s="43">
        <f>COUNTIF($O$7:O550,FORMULARIO!$AA$2)</f>
        <v>1</v>
      </c>
      <c r="M550" s="46"/>
      <c r="P550" s="16"/>
    </row>
    <row r="551" spans="5:16" hidden="1" x14ac:dyDescent="0.25">
      <c r="E551" s="43">
        <f>COUNTIF($O$7:O551,FORMULARIO!$AA$2)</f>
        <v>1</v>
      </c>
      <c r="M551" s="46"/>
      <c r="P551" s="16"/>
    </row>
    <row r="552" spans="5:16" hidden="1" x14ac:dyDescent="0.25">
      <c r="E552" s="43">
        <f>COUNTIF($O$7:O552,FORMULARIO!$AA$2)</f>
        <v>1</v>
      </c>
      <c r="M552" s="46"/>
      <c r="P552" s="16"/>
    </row>
    <row r="553" spans="5:16" hidden="1" x14ac:dyDescent="0.25">
      <c r="E553" s="43">
        <f>COUNTIF($O$7:O553,FORMULARIO!$AA$2)</f>
        <v>1</v>
      </c>
      <c r="M553" s="46"/>
      <c r="P553" s="16"/>
    </row>
    <row r="554" spans="5:16" hidden="1" x14ac:dyDescent="0.25">
      <c r="E554" s="43">
        <f>COUNTIF($O$7:O554,FORMULARIO!$AA$2)</f>
        <v>1</v>
      </c>
      <c r="M554" s="46"/>
      <c r="P554" s="16"/>
    </row>
    <row r="555" spans="5:16" hidden="1" x14ac:dyDescent="0.25">
      <c r="E555" s="43">
        <f>COUNTIF($O$7:O555,FORMULARIO!$AA$2)</f>
        <v>1</v>
      </c>
      <c r="M555" s="46"/>
      <c r="P555" s="16"/>
    </row>
    <row r="556" spans="5:16" hidden="1" x14ac:dyDescent="0.25">
      <c r="E556" s="43">
        <f>COUNTIF($O$7:O556,FORMULARIO!$AA$2)</f>
        <v>1</v>
      </c>
      <c r="M556" s="46"/>
      <c r="P556" s="16"/>
    </row>
    <row r="557" spans="5:16" hidden="1" x14ac:dyDescent="0.25">
      <c r="E557" s="43">
        <f>COUNTIF($O$7:O557,FORMULARIO!$AA$2)</f>
        <v>1</v>
      </c>
      <c r="M557" s="46"/>
      <c r="P557" s="16"/>
    </row>
    <row r="558" spans="5:16" hidden="1" x14ac:dyDescent="0.25">
      <c r="E558" s="43">
        <f>COUNTIF($O$7:O558,FORMULARIO!$AA$2)</f>
        <v>1</v>
      </c>
      <c r="M558" s="46"/>
      <c r="P558" s="16"/>
    </row>
    <row r="559" spans="5:16" hidden="1" x14ac:dyDescent="0.25">
      <c r="E559" s="43">
        <f>COUNTIF($O$7:O559,FORMULARIO!$AA$2)</f>
        <v>1</v>
      </c>
      <c r="M559" s="46"/>
      <c r="P559" s="16"/>
    </row>
    <row r="560" spans="5:16" hidden="1" x14ac:dyDescent="0.25">
      <c r="E560" s="43">
        <f>COUNTIF($O$7:O560,FORMULARIO!$AA$2)</f>
        <v>1</v>
      </c>
      <c r="M560" s="46"/>
      <c r="P560" s="16"/>
    </row>
    <row r="561" spans="5:16" hidden="1" x14ac:dyDescent="0.25">
      <c r="E561" s="43">
        <f>COUNTIF($O$7:O561,FORMULARIO!$AA$2)</f>
        <v>1</v>
      </c>
      <c r="M561" s="46"/>
      <c r="P561" s="16"/>
    </row>
    <row r="562" spans="5:16" hidden="1" x14ac:dyDescent="0.25">
      <c r="E562" s="43">
        <f>COUNTIF($O$7:O562,FORMULARIO!$AA$2)</f>
        <v>1</v>
      </c>
      <c r="M562" s="46"/>
      <c r="P562" s="16"/>
    </row>
    <row r="563" spans="5:16" hidden="1" x14ac:dyDescent="0.25">
      <c r="E563" s="43">
        <f>COUNTIF($O$7:O563,FORMULARIO!$AA$2)</f>
        <v>1</v>
      </c>
      <c r="M563" s="46"/>
      <c r="P563" s="16"/>
    </row>
    <row r="564" spans="5:16" hidden="1" x14ac:dyDescent="0.25">
      <c r="E564" s="43">
        <f>COUNTIF($O$7:O564,FORMULARIO!$AA$2)</f>
        <v>1</v>
      </c>
      <c r="M564" s="46"/>
      <c r="P564" s="16"/>
    </row>
    <row r="565" spans="5:16" hidden="1" x14ac:dyDescent="0.25">
      <c r="E565" s="43">
        <f>COUNTIF($O$7:O565,FORMULARIO!$AA$2)</f>
        <v>1</v>
      </c>
      <c r="M565" s="46"/>
      <c r="P565" s="16"/>
    </row>
    <row r="566" spans="5:16" hidden="1" x14ac:dyDescent="0.25">
      <c r="E566" s="43">
        <f>COUNTIF($O$7:O566,FORMULARIO!$AA$2)</f>
        <v>1</v>
      </c>
      <c r="M566" s="46"/>
      <c r="P566" s="16"/>
    </row>
    <row r="567" spans="5:16" hidden="1" x14ac:dyDescent="0.25">
      <c r="E567" s="43">
        <f>COUNTIF($O$7:O567,FORMULARIO!$AA$2)</f>
        <v>1</v>
      </c>
      <c r="M567" s="46"/>
      <c r="P567" s="16"/>
    </row>
    <row r="568" spans="5:16" hidden="1" x14ac:dyDescent="0.25">
      <c r="E568" s="43">
        <f>COUNTIF($O$7:O568,FORMULARIO!$AA$2)</f>
        <v>1</v>
      </c>
      <c r="M568" s="46"/>
      <c r="P568" s="16"/>
    </row>
    <row r="569" spans="5:16" hidden="1" x14ac:dyDescent="0.25">
      <c r="E569" s="43">
        <f>COUNTIF($O$7:O569,FORMULARIO!$AA$2)</f>
        <v>1</v>
      </c>
      <c r="M569" s="46"/>
      <c r="P569" s="16"/>
    </row>
    <row r="570" spans="5:16" hidden="1" x14ac:dyDescent="0.25">
      <c r="E570" s="43">
        <f>COUNTIF($O$7:O570,FORMULARIO!$AA$2)</f>
        <v>1</v>
      </c>
      <c r="M570" s="46"/>
      <c r="P570" s="16"/>
    </row>
    <row r="571" spans="5:16" hidden="1" x14ac:dyDescent="0.25">
      <c r="E571" s="43">
        <f>COUNTIF($O$7:O571,FORMULARIO!$AA$2)</f>
        <v>1</v>
      </c>
      <c r="M571" s="46"/>
      <c r="P571" s="16"/>
    </row>
    <row r="572" spans="5:16" hidden="1" x14ac:dyDescent="0.25">
      <c r="E572" s="43">
        <f>COUNTIF($O$7:O572,FORMULARIO!$AA$2)</f>
        <v>1</v>
      </c>
      <c r="M572" s="46"/>
      <c r="P572" s="16"/>
    </row>
    <row r="573" spans="5:16" hidden="1" x14ac:dyDescent="0.25">
      <c r="E573" s="43">
        <f>COUNTIF($O$7:O573,FORMULARIO!$AA$2)</f>
        <v>1</v>
      </c>
      <c r="M573" s="46"/>
      <c r="P573" s="16"/>
    </row>
    <row r="574" spans="5:16" hidden="1" x14ac:dyDescent="0.25">
      <c r="E574" s="43">
        <f>COUNTIF($O$7:O574,FORMULARIO!$AA$2)</f>
        <v>1</v>
      </c>
      <c r="M574" s="46"/>
      <c r="P574" s="16"/>
    </row>
    <row r="575" spans="5:16" hidden="1" x14ac:dyDescent="0.25">
      <c r="E575" s="43">
        <f>COUNTIF($O$7:O575,FORMULARIO!$AA$2)</f>
        <v>1</v>
      </c>
      <c r="M575" s="46"/>
      <c r="P575" s="16"/>
    </row>
    <row r="576" spans="5:16" hidden="1" x14ac:dyDescent="0.25">
      <c r="E576" s="43">
        <f>COUNTIF($O$7:O576,FORMULARIO!$AA$2)</f>
        <v>1</v>
      </c>
      <c r="M576" s="46"/>
      <c r="P576" s="16"/>
    </row>
    <row r="577" spans="5:16" hidden="1" x14ac:dyDescent="0.25">
      <c r="E577" s="43">
        <f>COUNTIF($O$7:O577,FORMULARIO!$AA$2)</f>
        <v>1</v>
      </c>
      <c r="M577" s="46"/>
      <c r="P577" s="16"/>
    </row>
    <row r="578" spans="5:16" hidden="1" x14ac:dyDescent="0.25">
      <c r="E578" s="43">
        <f>COUNTIF($O$7:O578,FORMULARIO!$AA$2)</f>
        <v>1</v>
      </c>
      <c r="M578" s="46"/>
      <c r="P578" s="16"/>
    </row>
    <row r="579" spans="5:16" hidden="1" x14ac:dyDescent="0.25">
      <c r="E579" s="43">
        <f>COUNTIF($O$7:O579,FORMULARIO!$AA$2)</f>
        <v>1</v>
      </c>
      <c r="M579" s="46"/>
      <c r="P579" s="16"/>
    </row>
    <row r="580" spans="5:16" hidden="1" x14ac:dyDescent="0.25">
      <c r="E580" s="43">
        <f>COUNTIF($O$7:O580,FORMULARIO!$AA$2)</f>
        <v>1</v>
      </c>
      <c r="M580" s="46"/>
      <c r="P580" s="16"/>
    </row>
    <row r="581" spans="5:16" hidden="1" x14ac:dyDescent="0.25">
      <c r="E581" s="43">
        <f>COUNTIF($O$7:O581,FORMULARIO!$AA$2)</f>
        <v>1</v>
      </c>
      <c r="M581" s="46"/>
      <c r="P581" s="16"/>
    </row>
    <row r="582" spans="5:16" hidden="1" x14ac:dyDescent="0.25">
      <c r="E582" s="43">
        <f>COUNTIF($O$7:O582,FORMULARIO!$AA$2)</f>
        <v>1</v>
      </c>
      <c r="M582" s="46"/>
      <c r="P582" s="16"/>
    </row>
    <row r="583" spans="5:16" hidden="1" x14ac:dyDescent="0.25">
      <c r="E583" s="43">
        <f>COUNTIF($O$7:O583,FORMULARIO!$AA$2)</f>
        <v>1</v>
      </c>
      <c r="M583" s="46"/>
      <c r="P583" s="16"/>
    </row>
    <row r="584" spans="5:16" hidden="1" x14ac:dyDescent="0.25">
      <c r="E584" s="43">
        <f>COUNTIF($O$7:O584,FORMULARIO!$AA$2)</f>
        <v>1</v>
      </c>
      <c r="M584" s="46"/>
      <c r="P584" s="16"/>
    </row>
    <row r="585" spans="5:16" hidden="1" x14ac:dyDescent="0.25">
      <c r="E585" s="43">
        <f>COUNTIF($O$7:O585,FORMULARIO!$AA$2)</f>
        <v>1</v>
      </c>
      <c r="M585" s="46"/>
      <c r="P585" s="16"/>
    </row>
    <row r="586" spans="5:16" hidden="1" x14ac:dyDescent="0.25">
      <c r="E586" s="43">
        <f>COUNTIF($O$7:O586,FORMULARIO!$AA$2)</f>
        <v>1</v>
      </c>
      <c r="M586" s="46"/>
      <c r="P586" s="16"/>
    </row>
    <row r="587" spans="5:16" hidden="1" x14ac:dyDescent="0.25">
      <c r="E587" s="43">
        <f>COUNTIF($O$7:O587,FORMULARIO!$AA$2)</f>
        <v>1</v>
      </c>
      <c r="M587" s="46"/>
      <c r="P587" s="16"/>
    </row>
    <row r="588" spans="5:16" hidden="1" x14ac:dyDescent="0.25">
      <c r="E588" s="43">
        <f>COUNTIF($O$7:O588,FORMULARIO!$AA$2)</f>
        <v>1</v>
      </c>
      <c r="M588" s="46"/>
      <c r="P588" s="16"/>
    </row>
    <row r="589" spans="5:16" hidden="1" x14ac:dyDescent="0.25">
      <c r="E589" s="43">
        <f>COUNTIF($O$7:O589,FORMULARIO!$AA$2)</f>
        <v>1</v>
      </c>
      <c r="M589" s="46"/>
      <c r="P589" s="16"/>
    </row>
    <row r="590" spans="5:16" hidden="1" x14ac:dyDescent="0.25">
      <c r="E590" s="43">
        <f>COUNTIF($O$7:O590,FORMULARIO!$AA$2)</f>
        <v>1</v>
      </c>
      <c r="M590" s="46"/>
      <c r="P590" s="16"/>
    </row>
    <row r="591" spans="5:16" hidden="1" x14ac:dyDescent="0.25">
      <c r="E591" s="43">
        <f>COUNTIF($O$7:O591,FORMULARIO!$AA$2)</f>
        <v>1</v>
      </c>
      <c r="M591" s="46"/>
      <c r="P591" s="16"/>
    </row>
    <row r="592" spans="5:16" hidden="1" x14ac:dyDescent="0.25">
      <c r="E592" s="43">
        <f>COUNTIF($O$7:O592,FORMULARIO!$AA$2)</f>
        <v>1</v>
      </c>
      <c r="M592" s="46"/>
      <c r="P592" s="16"/>
    </row>
    <row r="593" spans="5:16" hidden="1" x14ac:dyDescent="0.25">
      <c r="E593" s="43">
        <f>COUNTIF($O$7:O593,FORMULARIO!$AA$2)</f>
        <v>1</v>
      </c>
      <c r="M593" s="46"/>
      <c r="P593" s="16"/>
    </row>
    <row r="594" spans="5:16" hidden="1" x14ac:dyDescent="0.25">
      <c r="E594" s="43">
        <f>COUNTIF($O$7:O594,FORMULARIO!$AA$2)</f>
        <v>1</v>
      </c>
      <c r="M594" s="46"/>
      <c r="P594" s="16"/>
    </row>
    <row r="595" spans="5:16" hidden="1" x14ac:dyDescent="0.25">
      <c r="E595" s="43">
        <f>COUNTIF($O$7:O595,FORMULARIO!$AA$2)</f>
        <v>1</v>
      </c>
      <c r="M595" s="46"/>
      <c r="P595" s="16"/>
    </row>
    <row r="596" spans="5:16" hidden="1" x14ac:dyDescent="0.25">
      <c r="E596" s="43">
        <f>COUNTIF($O$7:O596,FORMULARIO!$AA$2)</f>
        <v>1</v>
      </c>
      <c r="M596" s="46"/>
      <c r="P596" s="16"/>
    </row>
    <row r="597" spans="5:16" hidden="1" x14ac:dyDescent="0.25">
      <c r="E597" s="43">
        <f>COUNTIF($O$7:O597,FORMULARIO!$AA$2)</f>
        <v>1</v>
      </c>
      <c r="M597" s="46"/>
      <c r="P597" s="16"/>
    </row>
    <row r="598" spans="5:16" hidden="1" x14ac:dyDescent="0.25">
      <c r="E598" s="43">
        <f>COUNTIF($O$7:O598,FORMULARIO!$AA$2)</f>
        <v>1</v>
      </c>
      <c r="M598" s="46"/>
      <c r="P598" s="16"/>
    </row>
    <row r="599" spans="5:16" hidden="1" x14ac:dyDescent="0.25">
      <c r="E599" s="43">
        <f>COUNTIF($O$7:O599,FORMULARIO!$AA$2)</f>
        <v>1</v>
      </c>
      <c r="M599" s="46"/>
      <c r="P599" s="16"/>
    </row>
    <row r="600" spans="5:16" hidden="1" x14ac:dyDescent="0.25">
      <c r="E600" s="43">
        <f>COUNTIF($O$7:O600,FORMULARIO!$AA$2)</f>
        <v>1</v>
      </c>
      <c r="M600" s="46"/>
      <c r="P600" s="16"/>
    </row>
    <row r="601" spans="5:16" hidden="1" x14ac:dyDescent="0.25">
      <c r="E601" s="43">
        <f>COUNTIF($O$7:O601,FORMULARIO!$AA$2)</f>
        <v>1</v>
      </c>
      <c r="M601" s="46"/>
      <c r="P601" s="16"/>
    </row>
    <row r="602" spans="5:16" hidden="1" x14ac:dyDescent="0.25">
      <c r="E602" s="43">
        <f>COUNTIF($O$7:O602,FORMULARIO!$AA$2)</f>
        <v>1</v>
      </c>
      <c r="M602" s="46"/>
      <c r="P602" s="16"/>
    </row>
    <row r="603" spans="5:16" hidden="1" x14ac:dyDescent="0.25">
      <c r="E603" s="43">
        <f>COUNTIF($O$7:O603,FORMULARIO!$AA$2)</f>
        <v>1</v>
      </c>
      <c r="M603" s="46"/>
      <c r="P603" s="16"/>
    </row>
    <row r="604" spans="5:16" hidden="1" x14ac:dyDescent="0.25">
      <c r="E604" s="43">
        <f>COUNTIF($O$7:O604,FORMULARIO!$AA$2)</f>
        <v>1</v>
      </c>
      <c r="M604" s="46"/>
      <c r="P604" s="16"/>
    </row>
    <row r="605" spans="5:16" hidden="1" x14ac:dyDescent="0.25">
      <c r="E605" s="43">
        <f>COUNTIF($O$7:O605,FORMULARIO!$AA$2)</f>
        <v>1</v>
      </c>
      <c r="M605" s="46"/>
      <c r="P605" s="16"/>
    </row>
    <row r="606" spans="5:16" hidden="1" x14ac:dyDescent="0.25">
      <c r="E606" s="43">
        <f>COUNTIF($O$7:O606,FORMULARIO!$AA$2)</f>
        <v>1</v>
      </c>
      <c r="M606" s="46"/>
      <c r="P606" s="16"/>
    </row>
    <row r="607" spans="5:16" hidden="1" x14ac:dyDescent="0.25">
      <c r="E607" s="43">
        <f>COUNTIF($O$7:O607,FORMULARIO!$AA$2)</f>
        <v>1</v>
      </c>
      <c r="M607" s="46"/>
      <c r="P607" s="16"/>
    </row>
    <row r="608" spans="5:16" hidden="1" x14ac:dyDescent="0.25">
      <c r="E608" s="43">
        <f>COUNTIF($O$7:O608,FORMULARIO!$AA$2)</f>
        <v>1</v>
      </c>
      <c r="M608" s="46"/>
      <c r="P608" s="16"/>
    </row>
    <row r="609" spans="5:16" hidden="1" x14ac:dyDescent="0.25">
      <c r="E609" s="43">
        <f>COUNTIF($O$7:O609,FORMULARIO!$AA$2)</f>
        <v>1</v>
      </c>
      <c r="M609" s="46"/>
      <c r="P609" s="16"/>
    </row>
    <row r="610" spans="5:16" hidden="1" x14ac:dyDescent="0.25">
      <c r="E610" s="43">
        <f>COUNTIF($O$7:O610,FORMULARIO!$AA$2)</f>
        <v>1</v>
      </c>
      <c r="M610" s="46"/>
      <c r="P610" s="16"/>
    </row>
    <row r="611" spans="5:16" hidden="1" x14ac:dyDescent="0.25">
      <c r="E611" s="43">
        <f>COUNTIF($O$7:O611,FORMULARIO!$AA$2)</f>
        <v>1</v>
      </c>
      <c r="M611" s="46"/>
      <c r="P611" s="16"/>
    </row>
    <row r="612" spans="5:16" hidden="1" x14ac:dyDescent="0.25">
      <c r="E612" s="43">
        <f>COUNTIF($O$7:O612,FORMULARIO!$AA$2)</f>
        <v>1</v>
      </c>
      <c r="M612" s="46"/>
      <c r="P612" s="16"/>
    </row>
    <row r="613" spans="5:16" hidden="1" x14ac:dyDescent="0.25">
      <c r="E613" s="43">
        <f>COUNTIF($O$7:O613,FORMULARIO!$AA$2)</f>
        <v>1</v>
      </c>
      <c r="M613" s="46"/>
      <c r="P613" s="16"/>
    </row>
    <row r="614" spans="5:16" hidden="1" x14ac:dyDescent="0.25">
      <c r="E614" s="43">
        <f>COUNTIF($O$7:O614,FORMULARIO!$AA$2)</f>
        <v>1</v>
      </c>
      <c r="M614" s="46"/>
      <c r="P614" s="16"/>
    </row>
    <row r="615" spans="5:16" hidden="1" x14ac:dyDescent="0.25">
      <c r="E615" s="43">
        <f>COUNTIF($O$7:O615,FORMULARIO!$AA$2)</f>
        <v>1</v>
      </c>
      <c r="M615" s="46"/>
      <c r="P615" s="16"/>
    </row>
    <row r="616" spans="5:16" hidden="1" x14ac:dyDescent="0.25">
      <c r="E616" s="43">
        <f>COUNTIF($O$7:O616,FORMULARIO!$AA$2)</f>
        <v>1</v>
      </c>
      <c r="M616" s="46"/>
      <c r="P616" s="16"/>
    </row>
    <row r="617" spans="5:16" hidden="1" x14ac:dyDescent="0.25">
      <c r="E617" s="43">
        <f>COUNTIF($O$7:O617,FORMULARIO!$AA$2)</f>
        <v>1</v>
      </c>
      <c r="M617" s="46"/>
      <c r="P617" s="16"/>
    </row>
    <row r="618" spans="5:16" hidden="1" x14ac:dyDescent="0.25">
      <c r="E618" s="43">
        <f>COUNTIF($O$7:O618,FORMULARIO!$AA$2)</f>
        <v>1</v>
      </c>
      <c r="M618" s="46"/>
      <c r="P618" s="16"/>
    </row>
    <row r="619" spans="5:16" hidden="1" x14ac:dyDescent="0.25">
      <c r="E619" s="43">
        <f>COUNTIF($O$7:O619,FORMULARIO!$AA$2)</f>
        <v>1</v>
      </c>
      <c r="M619" s="46"/>
      <c r="P619" s="16"/>
    </row>
    <row r="620" spans="5:16" hidden="1" x14ac:dyDescent="0.25">
      <c r="E620" s="43">
        <f>COUNTIF($O$7:O620,FORMULARIO!$AA$2)</f>
        <v>1</v>
      </c>
      <c r="M620" s="46"/>
      <c r="P620" s="16"/>
    </row>
    <row r="621" spans="5:16" hidden="1" x14ac:dyDescent="0.25">
      <c r="E621" s="43">
        <f>COUNTIF($O$7:O621,FORMULARIO!$AA$2)</f>
        <v>1</v>
      </c>
      <c r="M621" s="46"/>
      <c r="P621" s="16"/>
    </row>
    <row r="622" spans="5:16" hidden="1" x14ac:dyDescent="0.25">
      <c r="E622" s="43">
        <f>COUNTIF($O$7:O622,FORMULARIO!$AA$2)</f>
        <v>1</v>
      </c>
      <c r="M622" s="46"/>
      <c r="P622" s="16"/>
    </row>
    <row r="623" spans="5:16" hidden="1" x14ac:dyDescent="0.25">
      <c r="E623" s="43">
        <f>COUNTIF($O$7:O623,FORMULARIO!$AA$2)</f>
        <v>1</v>
      </c>
      <c r="M623" s="46"/>
      <c r="P623" s="16"/>
    </row>
    <row r="624" spans="5:16" hidden="1" x14ac:dyDescent="0.25">
      <c r="E624" s="43">
        <f>COUNTIF($O$7:O624,FORMULARIO!$AA$2)</f>
        <v>1</v>
      </c>
      <c r="M624" s="46"/>
      <c r="P624" s="16"/>
    </row>
    <row r="625" spans="5:16" hidden="1" x14ac:dyDescent="0.25">
      <c r="E625" s="43">
        <f>COUNTIF($O$7:O625,FORMULARIO!$AA$2)</f>
        <v>1</v>
      </c>
      <c r="M625" s="46"/>
      <c r="P625" s="16"/>
    </row>
    <row r="626" spans="5:16" hidden="1" x14ac:dyDescent="0.25">
      <c r="E626" s="43">
        <f>COUNTIF($O$7:O626,FORMULARIO!$AA$2)</f>
        <v>1</v>
      </c>
      <c r="M626" s="46"/>
      <c r="P626" s="16"/>
    </row>
    <row r="627" spans="5:16" hidden="1" x14ac:dyDescent="0.25">
      <c r="E627" s="43">
        <f>COUNTIF($O$7:O627,FORMULARIO!$AA$2)</f>
        <v>1</v>
      </c>
      <c r="M627" s="46"/>
      <c r="P627" s="16"/>
    </row>
    <row r="628" spans="5:16" hidden="1" x14ac:dyDescent="0.25">
      <c r="E628" s="43">
        <f>COUNTIF($O$7:O628,FORMULARIO!$AA$2)</f>
        <v>1</v>
      </c>
      <c r="M628" s="46"/>
      <c r="P628" s="16"/>
    </row>
    <row r="629" spans="5:16" hidden="1" x14ac:dyDescent="0.25">
      <c r="E629" s="43">
        <f>COUNTIF($O$7:O629,FORMULARIO!$AA$2)</f>
        <v>1</v>
      </c>
      <c r="M629" s="46"/>
      <c r="P629" s="16"/>
    </row>
    <row r="630" spans="5:16" hidden="1" x14ac:dyDescent="0.25">
      <c r="E630" s="43">
        <f>COUNTIF($O$7:O630,FORMULARIO!$AA$2)</f>
        <v>1</v>
      </c>
      <c r="M630" s="46"/>
      <c r="P630" s="16"/>
    </row>
    <row r="631" spans="5:16" hidden="1" x14ac:dyDescent="0.25">
      <c r="E631" s="43">
        <f>COUNTIF($O$7:O631,FORMULARIO!$AA$2)</f>
        <v>1</v>
      </c>
      <c r="M631" s="46"/>
      <c r="P631" s="16"/>
    </row>
    <row r="632" spans="5:16" hidden="1" x14ac:dyDescent="0.25">
      <c r="E632" s="43">
        <f>COUNTIF($O$7:O632,FORMULARIO!$AA$2)</f>
        <v>1</v>
      </c>
      <c r="M632" s="46"/>
      <c r="P632" s="16"/>
    </row>
    <row r="633" spans="5:16" hidden="1" x14ac:dyDescent="0.25">
      <c r="E633" s="43">
        <f>COUNTIF($O$7:O633,FORMULARIO!$AA$2)</f>
        <v>1</v>
      </c>
      <c r="M633" s="46"/>
      <c r="P633" s="16"/>
    </row>
    <row r="634" spans="5:16" hidden="1" x14ac:dyDescent="0.25">
      <c r="E634" s="43">
        <f>COUNTIF($O$7:O634,FORMULARIO!$AA$2)</f>
        <v>1</v>
      </c>
      <c r="M634" s="46"/>
      <c r="P634" s="16"/>
    </row>
    <row r="635" spans="5:16" hidden="1" x14ac:dyDescent="0.25">
      <c r="E635" s="43">
        <f>COUNTIF($O$7:O635,FORMULARIO!$AA$2)</f>
        <v>1</v>
      </c>
      <c r="M635" s="46"/>
      <c r="P635" s="16"/>
    </row>
    <row r="636" spans="5:16" hidden="1" x14ac:dyDescent="0.25">
      <c r="E636" s="43">
        <f>COUNTIF($O$7:O636,FORMULARIO!$AA$2)</f>
        <v>1</v>
      </c>
      <c r="M636" s="46"/>
      <c r="P636" s="16"/>
    </row>
    <row r="637" spans="5:16" hidden="1" x14ac:dyDescent="0.25">
      <c r="E637" s="43">
        <f>COUNTIF($O$7:O637,FORMULARIO!$AA$2)</f>
        <v>1</v>
      </c>
      <c r="M637" s="46"/>
      <c r="P637" s="16"/>
    </row>
    <row r="638" spans="5:16" hidden="1" x14ac:dyDescent="0.25">
      <c r="E638" s="43">
        <f>COUNTIF($O$7:O638,FORMULARIO!$AA$2)</f>
        <v>1</v>
      </c>
      <c r="M638" s="46"/>
      <c r="P638" s="16"/>
    </row>
    <row r="639" spans="5:16" hidden="1" x14ac:dyDescent="0.25">
      <c r="E639" s="43">
        <f>COUNTIF($O$7:O639,FORMULARIO!$AA$2)</f>
        <v>1</v>
      </c>
      <c r="M639" s="46"/>
      <c r="P639" s="16"/>
    </row>
    <row r="640" spans="5:16" hidden="1" x14ac:dyDescent="0.25">
      <c r="E640" s="43">
        <f>COUNTIF($O$7:O640,FORMULARIO!$AA$2)</f>
        <v>1</v>
      </c>
      <c r="M640" s="46"/>
      <c r="P640" s="16"/>
    </row>
    <row r="641" spans="5:16" hidden="1" x14ac:dyDescent="0.25">
      <c r="E641" s="43">
        <f>COUNTIF($O$7:O641,FORMULARIO!$AA$2)</f>
        <v>1</v>
      </c>
      <c r="M641" s="46"/>
      <c r="P641" s="16"/>
    </row>
    <row r="642" spans="5:16" hidden="1" x14ac:dyDescent="0.25">
      <c r="E642" s="43">
        <f>COUNTIF($O$7:O642,FORMULARIO!$AA$2)</f>
        <v>1</v>
      </c>
      <c r="M642" s="46"/>
      <c r="P642" s="16"/>
    </row>
    <row r="643" spans="5:16" hidden="1" x14ac:dyDescent="0.25">
      <c r="E643" s="43">
        <f>COUNTIF($O$7:O643,FORMULARIO!$AA$2)</f>
        <v>1</v>
      </c>
      <c r="M643" s="46"/>
      <c r="P643" s="16"/>
    </row>
    <row r="644" spans="5:16" hidden="1" x14ac:dyDescent="0.25">
      <c r="E644" s="43">
        <f>COUNTIF($O$7:O644,FORMULARIO!$AA$2)</f>
        <v>1</v>
      </c>
      <c r="M644" s="46"/>
      <c r="P644" s="16"/>
    </row>
    <row r="645" spans="5:16" hidden="1" x14ac:dyDescent="0.25">
      <c r="E645" s="43">
        <f>COUNTIF($O$7:O645,FORMULARIO!$AA$2)</f>
        <v>1</v>
      </c>
      <c r="M645" s="46"/>
      <c r="P645" s="16"/>
    </row>
    <row r="646" spans="5:16" hidden="1" x14ac:dyDescent="0.25">
      <c r="E646" s="43">
        <f>COUNTIF($O$7:O646,FORMULARIO!$AA$2)</f>
        <v>1</v>
      </c>
      <c r="M646" s="46"/>
      <c r="P646" s="16"/>
    </row>
    <row r="647" spans="5:16" hidden="1" x14ac:dyDescent="0.25">
      <c r="E647" s="43">
        <f>COUNTIF($O$7:O647,FORMULARIO!$AA$2)</f>
        <v>1</v>
      </c>
      <c r="M647" s="46"/>
      <c r="P647" s="16"/>
    </row>
    <row r="648" spans="5:16" hidden="1" x14ac:dyDescent="0.25">
      <c r="E648" s="43">
        <f>COUNTIF($O$7:O648,FORMULARIO!$AA$2)</f>
        <v>1</v>
      </c>
      <c r="M648" s="46"/>
      <c r="P648" s="16"/>
    </row>
    <row r="649" spans="5:16" hidden="1" x14ac:dyDescent="0.25">
      <c r="E649" s="43">
        <f>COUNTIF($O$7:O649,FORMULARIO!$AA$2)</f>
        <v>1</v>
      </c>
      <c r="M649" s="46"/>
      <c r="P649" s="16"/>
    </row>
    <row r="650" spans="5:16" hidden="1" x14ac:dyDescent="0.25">
      <c r="E650" s="43">
        <f>COUNTIF($O$7:O650,FORMULARIO!$AA$2)</f>
        <v>1</v>
      </c>
      <c r="M650" s="46"/>
      <c r="P650" s="16"/>
    </row>
    <row r="651" spans="5:16" hidden="1" x14ac:dyDescent="0.25">
      <c r="E651" s="43">
        <f>COUNTIF($O$7:O651,FORMULARIO!$AA$2)</f>
        <v>1</v>
      </c>
      <c r="M651" s="46"/>
      <c r="P651" s="16"/>
    </row>
    <row r="652" spans="5:16" hidden="1" x14ac:dyDescent="0.25">
      <c r="E652" s="43">
        <f>COUNTIF($O$7:O652,FORMULARIO!$AA$2)</f>
        <v>1</v>
      </c>
      <c r="M652" s="46"/>
      <c r="P652" s="16"/>
    </row>
    <row r="653" spans="5:16" hidden="1" x14ac:dyDescent="0.25">
      <c r="E653" s="43">
        <f>COUNTIF($O$7:O653,FORMULARIO!$AA$2)</f>
        <v>1</v>
      </c>
      <c r="M653" s="46"/>
      <c r="P653" s="16"/>
    </row>
    <row r="654" spans="5:16" hidden="1" x14ac:dyDescent="0.25">
      <c r="E654" s="43">
        <f>COUNTIF($O$7:O654,FORMULARIO!$AA$2)</f>
        <v>1</v>
      </c>
      <c r="M654" s="46"/>
      <c r="P654" s="16"/>
    </row>
    <row r="655" spans="5:16" hidden="1" x14ac:dyDescent="0.25">
      <c r="E655" s="43">
        <f>COUNTIF($O$7:O655,FORMULARIO!$AA$2)</f>
        <v>1</v>
      </c>
      <c r="M655" s="46"/>
      <c r="P655" s="16"/>
    </row>
    <row r="656" spans="5:16" hidden="1" x14ac:dyDescent="0.25">
      <c r="E656" s="43">
        <f>COUNTIF($O$7:O656,FORMULARIO!$AA$2)</f>
        <v>1</v>
      </c>
      <c r="M656" s="46"/>
      <c r="P656" s="16"/>
    </row>
    <row r="657" spans="5:16" hidden="1" x14ac:dyDescent="0.25">
      <c r="E657" s="43">
        <f>COUNTIF($O$7:O657,FORMULARIO!$AA$2)</f>
        <v>1</v>
      </c>
      <c r="M657" s="46"/>
      <c r="P657" s="16"/>
    </row>
    <row r="658" spans="5:16" hidden="1" x14ac:dyDescent="0.25">
      <c r="E658" s="43">
        <f>COUNTIF($O$7:O658,FORMULARIO!$AA$2)</f>
        <v>1</v>
      </c>
      <c r="M658" s="46"/>
      <c r="P658" s="16"/>
    </row>
    <row r="659" spans="5:16" hidden="1" x14ac:dyDescent="0.25">
      <c r="E659" s="43">
        <f>COUNTIF($O$7:O659,FORMULARIO!$AA$2)</f>
        <v>1</v>
      </c>
      <c r="M659" s="46"/>
      <c r="P659" s="16"/>
    </row>
    <row r="660" spans="5:16" hidden="1" x14ac:dyDescent="0.25">
      <c r="E660" s="43">
        <f>COUNTIF($O$7:O660,FORMULARIO!$AA$2)</f>
        <v>1</v>
      </c>
      <c r="M660" s="46"/>
      <c r="P660" s="16"/>
    </row>
    <row r="661" spans="5:16" hidden="1" x14ac:dyDescent="0.25">
      <c r="E661" s="43">
        <f>COUNTIF($O$7:O661,FORMULARIO!$AA$2)</f>
        <v>1</v>
      </c>
      <c r="M661" s="46"/>
      <c r="P661" s="16"/>
    </row>
    <row r="662" spans="5:16" hidden="1" x14ac:dyDescent="0.25">
      <c r="E662" s="43">
        <f>COUNTIF($O$7:O662,FORMULARIO!$AA$2)</f>
        <v>1</v>
      </c>
      <c r="M662" s="46"/>
      <c r="P662" s="16"/>
    </row>
    <row r="663" spans="5:16" hidden="1" x14ac:dyDescent="0.25">
      <c r="E663" s="43">
        <f>COUNTIF($O$7:O663,FORMULARIO!$AA$2)</f>
        <v>1</v>
      </c>
      <c r="M663" s="46"/>
      <c r="P663" s="16"/>
    </row>
    <row r="664" spans="5:16" hidden="1" x14ac:dyDescent="0.25">
      <c r="E664" s="43">
        <f>COUNTIF($O$7:O664,FORMULARIO!$AA$2)</f>
        <v>1</v>
      </c>
      <c r="M664" s="46"/>
      <c r="P664" s="16"/>
    </row>
    <row r="665" spans="5:16" hidden="1" x14ac:dyDescent="0.25">
      <c r="E665" s="43">
        <f>COUNTIF($O$7:O665,FORMULARIO!$AA$2)</f>
        <v>1</v>
      </c>
      <c r="M665" s="46"/>
      <c r="P665" s="16"/>
    </row>
    <row r="666" spans="5:16" hidden="1" x14ac:dyDescent="0.25">
      <c r="E666" s="43">
        <f>COUNTIF($O$7:O666,FORMULARIO!$AA$2)</f>
        <v>1</v>
      </c>
      <c r="M666" s="46"/>
      <c r="P666" s="16"/>
    </row>
    <row r="667" spans="5:16" hidden="1" x14ac:dyDescent="0.25">
      <c r="E667" s="43">
        <f>COUNTIF($O$7:O667,FORMULARIO!$AA$2)</f>
        <v>1</v>
      </c>
      <c r="M667" s="46"/>
      <c r="P667" s="16"/>
    </row>
    <row r="668" spans="5:16" hidden="1" x14ac:dyDescent="0.25">
      <c r="E668" s="43">
        <f>COUNTIF($O$7:O668,FORMULARIO!$AA$2)</f>
        <v>1</v>
      </c>
      <c r="M668" s="46"/>
      <c r="P668" s="16"/>
    </row>
    <row r="669" spans="5:16" hidden="1" x14ac:dyDescent="0.25">
      <c r="E669" s="43">
        <f>COUNTIF($O$7:O669,FORMULARIO!$AA$2)</f>
        <v>1</v>
      </c>
      <c r="M669" s="46"/>
      <c r="P669" s="16"/>
    </row>
    <row r="670" spans="5:16" hidden="1" x14ac:dyDescent="0.25">
      <c r="E670" s="43">
        <f>COUNTIF($O$7:O670,FORMULARIO!$AA$2)</f>
        <v>1</v>
      </c>
      <c r="M670" s="46"/>
      <c r="P670" s="16"/>
    </row>
    <row r="671" spans="5:16" hidden="1" x14ac:dyDescent="0.25">
      <c r="E671" s="43">
        <f>COUNTIF($O$7:O671,FORMULARIO!$AA$2)</f>
        <v>1</v>
      </c>
      <c r="M671" s="46"/>
      <c r="P671" s="16"/>
    </row>
    <row r="672" spans="5:16" hidden="1" x14ac:dyDescent="0.25">
      <c r="E672" s="43">
        <f>COUNTIF($O$7:O672,FORMULARIO!$AA$2)</f>
        <v>1</v>
      </c>
      <c r="M672" s="46"/>
      <c r="P672" s="16"/>
    </row>
    <row r="673" spans="5:16" hidden="1" x14ac:dyDescent="0.25">
      <c r="E673" s="43">
        <f>COUNTIF($O$7:O673,FORMULARIO!$AA$2)</f>
        <v>1</v>
      </c>
      <c r="M673" s="46"/>
      <c r="P673" s="16"/>
    </row>
    <row r="674" spans="5:16" hidden="1" x14ac:dyDescent="0.25">
      <c r="E674" s="43">
        <f>COUNTIF($O$7:O674,FORMULARIO!$AA$2)</f>
        <v>1</v>
      </c>
      <c r="M674" s="46"/>
      <c r="P674" s="16"/>
    </row>
    <row r="675" spans="5:16" hidden="1" x14ac:dyDescent="0.25">
      <c r="E675" s="43">
        <f>COUNTIF($O$7:O675,FORMULARIO!$AA$2)</f>
        <v>1</v>
      </c>
      <c r="M675" s="46"/>
      <c r="P675" s="16"/>
    </row>
    <row r="676" spans="5:16" hidden="1" x14ac:dyDescent="0.25">
      <c r="E676" s="43">
        <f>COUNTIF($O$7:O676,FORMULARIO!$AA$2)</f>
        <v>1</v>
      </c>
      <c r="M676" s="46"/>
      <c r="P676" s="16"/>
    </row>
    <row r="677" spans="5:16" hidden="1" x14ac:dyDescent="0.25">
      <c r="E677" s="43">
        <f>COUNTIF($O$7:O677,FORMULARIO!$AA$2)</f>
        <v>1</v>
      </c>
      <c r="M677" s="46"/>
      <c r="P677" s="16"/>
    </row>
    <row r="678" spans="5:16" hidden="1" x14ac:dyDescent="0.25">
      <c r="E678" s="43">
        <f>COUNTIF($O$7:O678,FORMULARIO!$AA$2)</f>
        <v>1</v>
      </c>
      <c r="M678" s="46"/>
      <c r="P678" s="16"/>
    </row>
    <row r="679" spans="5:16" hidden="1" x14ac:dyDescent="0.25">
      <c r="E679" s="43">
        <f>COUNTIF($O$7:O679,FORMULARIO!$AA$2)</f>
        <v>1</v>
      </c>
      <c r="M679" s="46"/>
      <c r="P679" s="16"/>
    </row>
    <row r="680" spans="5:16" hidden="1" x14ac:dyDescent="0.25">
      <c r="E680" s="43">
        <f>COUNTIF($O$7:O680,FORMULARIO!$AA$2)</f>
        <v>1</v>
      </c>
      <c r="M680" s="46"/>
      <c r="P680" s="16"/>
    </row>
    <row r="681" spans="5:16" hidden="1" x14ac:dyDescent="0.25">
      <c r="E681" s="43">
        <f>COUNTIF($O$7:O681,FORMULARIO!$AA$2)</f>
        <v>1</v>
      </c>
      <c r="M681" s="46"/>
      <c r="P681" s="16"/>
    </row>
    <row r="682" spans="5:16" hidden="1" x14ac:dyDescent="0.25">
      <c r="E682" s="43">
        <f>COUNTIF($O$7:O682,FORMULARIO!$AA$2)</f>
        <v>1</v>
      </c>
      <c r="M682" s="46"/>
      <c r="P682" s="16"/>
    </row>
    <row r="683" spans="5:16" hidden="1" x14ac:dyDescent="0.25">
      <c r="E683" s="43">
        <f>COUNTIF($O$7:O683,FORMULARIO!$AA$2)</f>
        <v>1</v>
      </c>
      <c r="M683" s="46"/>
      <c r="P683" s="16"/>
    </row>
    <row r="684" spans="5:16" hidden="1" x14ac:dyDescent="0.25">
      <c r="E684" s="43">
        <f>COUNTIF($O$7:O684,FORMULARIO!$AA$2)</f>
        <v>1</v>
      </c>
      <c r="M684" s="46"/>
      <c r="P684" s="16"/>
    </row>
    <row r="685" spans="5:16" hidden="1" x14ac:dyDescent="0.25">
      <c r="E685" s="43">
        <f>COUNTIF($O$7:O685,FORMULARIO!$AA$2)</f>
        <v>1</v>
      </c>
      <c r="M685" s="46"/>
      <c r="P685" s="16"/>
    </row>
    <row r="686" spans="5:16" hidden="1" x14ac:dyDescent="0.25">
      <c r="E686" s="43">
        <f>COUNTIF($O$7:O686,FORMULARIO!$AA$2)</f>
        <v>1</v>
      </c>
      <c r="M686" s="46"/>
      <c r="P686" s="16"/>
    </row>
    <row r="687" spans="5:16" hidden="1" x14ac:dyDescent="0.25">
      <c r="E687" s="43">
        <f>COUNTIF($O$7:O687,FORMULARIO!$AA$2)</f>
        <v>1</v>
      </c>
      <c r="M687" s="46"/>
      <c r="P687" s="16"/>
    </row>
    <row r="688" spans="5:16" hidden="1" x14ac:dyDescent="0.25">
      <c r="E688" s="43">
        <f>COUNTIF($O$7:O688,FORMULARIO!$AA$2)</f>
        <v>1</v>
      </c>
      <c r="M688" s="46"/>
      <c r="P688" s="16"/>
    </row>
    <row r="689" spans="5:16" hidden="1" x14ac:dyDescent="0.25">
      <c r="E689" s="43">
        <f>COUNTIF($O$7:O689,FORMULARIO!$AA$2)</f>
        <v>1</v>
      </c>
      <c r="M689" s="46"/>
      <c r="P689" s="16"/>
    </row>
    <row r="690" spans="5:16" hidden="1" x14ac:dyDescent="0.25">
      <c r="E690" s="43">
        <f>COUNTIF($O$7:O690,FORMULARIO!$AA$2)</f>
        <v>1</v>
      </c>
      <c r="M690" s="46"/>
      <c r="P690" s="16"/>
    </row>
    <row r="691" spans="5:16" hidden="1" x14ac:dyDescent="0.25">
      <c r="E691" s="43">
        <f>COUNTIF($O$7:O691,FORMULARIO!$AA$2)</f>
        <v>1</v>
      </c>
      <c r="M691" s="46"/>
      <c r="P691" s="16"/>
    </row>
    <row r="692" spans="5:16" hidden="1" x14ac:dyDescent="0.25">
      <c r="E692" s="43">
        <f>COUNTIF($O$7:O692,FORMULARIO!$AA$2)</f>
        <v>1</v>
      </c>
      <c r="M692" s="46"/>
      <c r="P692" s="16"/>
    </row>
    <row r="693" spans="5:16" hidden="1" x14ac:dyDescent="0.25">
      <c r="E693" s="43">
        <f>COUNTIF($O$7:O693,FORMULARIO!$AA$2)</f>
        <v>1</v>
      </c>
      <c r="M693" s="46"/>
      <c r="P693" s="16"/>
    </row>
    <row r="694" spans="5:16" hidden="1" x14ac:dyDescent="0.25">
      <c r="E694" s="43">
        <f>COUNTIF($O$7:O694,FORMULARIO!$AA$2)</f>
        <v>1</v>
      </c>
      <c r="M694" s="46"/>
      <c r="P694" s="16"/>
    </row>
    <row r="695" spans="5:16" hidden="1" x14ac:dyDescent="0.25">
      <c r="E695" s="43">
        <f>COUNTIF($O$7:O695,FORMULARIO!$AA$2)</f>
        <v>1</v>
      </c>
      <c r="M695" s="46"/>
      <c r="P695" s="16"/>
    </row>
    <row r="696" spans="5:16" hidden="1" x14ac:dyDescent="0.25">
      <c r="E696" s="43">
        <f>COUNTIF($O$7:O696,FORMULARIO!$AA$2)</f>
        <v>1</v>
      </c>
      <c r="M696" s="46"/>
      <c r="P696" s="16"/>
    </row>
    <row r="697" spans="5:16" hidden="1" x14ac:dyDescent="0.25">
      <c r="E697" s="43">
        <f>COUNTIF($O$7:O697,FORMULARIO!$AA$2)</f>
        <v>1</v>
      </c>
      <c r="M697" s="46"/>
      <c r="P697" s="16"/>
    </row>
    <row r="698" spans="5:16" hidden="1" x14ac:dyDescent="0.25">
      <c r="E698" s="43">
        <f>COUNTIF($O$7:O698,FORMULARIO!$AA$2)</f>
        <v>1</v>
      </c>
      <c r="M698" s="46"/>
      <c r="P698" s="16"/>
    </row>
    <row r="699" spans="5:16" hidden="1" x14ac:dyDescent="0.25">
      <c r="E699" s="43">
        <f>COUNTIF($O$7:O699,FORMULARIO!$AA$2)</f>
        <v>1</v>
      </c>
      <c r="M699" s="46"/>
      <c r="P699" s="16"/>
    </row>
    <row r="700" spans="5:16" hidden="1" x14ac:dyDescent="0.25">
      <c r="E700" s="43">
        <f>COUNTIF($O$7:O700,FORMULARIO!$AA$2)</f>
        <v>1</v>
      </c>
      <c r="M700" s="46"/>
      <c r="P700" s="16"/>
    </row>
    <row r="701" spans="5:16" hidden="1" x14ac:dyDescent="0.25">
      <c r="E701" s="43">
        <f>COUNTIF($O$7:O701,FORMULARIO!$AA$2)</f>
        <v>1</v>
      </c>
      <c r="M701" s="46"/>
      <c r="P701" s="16"/>
    </row>
    <row r="702" spans="5:16" hidden="1" x14ac:dyDescent="0.25">
      <c r="E702" s="43">
        <f>COUNTIF($O$7:O702,FORMULARIO!$AA$2)</f>
        <v>1</v>
      </c>
      <c r="M702" s="46"/>
      <c r="P702" s="16"/>
    </row>
    <row r="703" spans="5:16" hidden="1" x14ac:dyDescent="0.25">
      <c r="E703" s="43">
        <f>COUNTIF($O$7:O703,FORMULARIO!$AA$2)</f>
        <v>1</v>
      </c>
      <c r="M703" s="46"/>
      <c r="P703" s="16"/>
    </row>
    <row r="704" spans="5:16" hidden="1" x14ac:dyDescent="0.25">
      <c r="E704" s="43">
        <f>COUNTIF($O$7:O704,FORMULARIO!$AA$2)</f>
        <v>1</v>
      </c>
      <c r="M704" s="46"/>
      <c r="P704" s="16"/>
    </row>
    <row r="705" spans="5:16" hidden="1" x14ac:dyDescent="0.25">
      <c r="E705" s="43">
        <f>COUNTIF($O$7:O705,FORMULARIO!$AA$2)</f>
        <v>1</v>
      </c>
      <c r="M705" s="46"/>
      <c r="P705" s="16"/>
    </row>
    <row r="706" spans="5:16" hidden="1" x14ac:dyDescent="0.25">
      <c r="E706" s="43">
        <f>COUNTIF($O$7:O706,FORMULARIO!$AA$2)</f>
        <v>1</v>
      </c>
      <c r="M706" s="46"/>
      <c r="P706" s="16"/>
    </row>
    <row r="707" spans="5:16" hidden="1" x14ac:dyDescent="0.25">
      <c r="E707" s="43">
        <f>COUNTIF($O$7:O707,FORMULARIO!$AA$2)</f>
        <v>1</v>
      </c>
      <c r="M707" s="46"/>
      <c r="P707" s="16"/>
    </row>
    <row r="708" spans="5:16" hidden="1" x14ac:dyDescent="0.25">
      <c r="E708" s="43">
        <f>COUNTIF($O$7:O708,FORMULARIO!$AA$2)</f>
        <v>1</v>
      </c>
      <c r="M708" s="46"/>
      <c r="P708" s="16"/>
    </row>
    <row r="709" spans="5:16" hidden="1" x14ac:dyDescent="0.25">
      <c r="E709" s="43">
        <f>COUNTIF($O$7:O709,FORMULARIO!$AA$2)</f>
        <v>1</v>
      </c>
      <c r="M709" s="46"/>
      <c r="P709" s="16"/>
    </row>
    <row r="710" spans="5:16" hidden="1" x14ac:dyDescent="0.25">
      <c r="E710" s="43">
        <f>COUNTIF($O$7:O710,FORMULARIO!$AA$2)</f>
        <v>1</v>
      </c>
      <c r="M710" s="46"/>
      <c r="P710" s="16"/>
    </row>
    <row r="711" spans="5:16" hidden="1" x14ac:dyDescent="0.25">
      <c r="E711" s="43">
        <f>COUNTIF($O$7:O711,FORMULARIO!$AA$2)</f>
        <v>1</v>
      </c>
      <c r="M711" s="46"/>
      <c r="P711" s="16"/>
    </row>
    <row r="712" spans="5:16" hidden="1" x14ac:dyDescent="0.25">
      <c r="E712" s="43">
        <f>COUNTIF($O$7:O712,FORMULARIO!$AA$2)</f>
        <v>1</v>
      </c>
      <c r="M712" s="46"/>
      <c r="P712" s="16"/>
    </row>
    <row r="713" spans="5:16" hidden="1" x14ac:dyDescent="0.25">
      <c r="E713" s="43">
        <f>COUNTIF($O$7:O713,FORMULARIO!$AA$2)</f>
        <v>1</v>
      </c>
      <c r="M713" s="46"/>
      <c r="P713" s="16"/>
    </row>
    <row r="714" spans="5:16" hidden="1" x14ac:dyDescent="0.25">
      <c r="E714" s="43">
        <f>COUNTIF($O$7:O714,FORMULARIO!$AA$2)</f>
        <v>1</v>
      </c>
      <c r="M714" s="46"/>
      <c r="P714" s="16"/>
    </row>
    <row r="715" spans="5:16" hidden="1" x14ac:dyDescent="0.25">
      <c r="E715" s="43">
        <f>COUNTIF($O$7:O715,FORMULARIO!$AA$2)</f>
        <v>1</v>
      </c>
      <c r="M715" s="46"/>
      <c r="P715" s="16"/>
    </row>
    <row r="716" spans="5:16" hidden="1" x14ac:dyDescent="0.25">
      <c r="E716" s="43">
        <f>COUNTIF($O$7:O716,FORMULARIO!$AA$2)</f>
        <v>1</v>
      </c>
      <c r="M716" s="46"/>
      <c r="P716" s="16"/>
    </row>
    <row r="717" spans="5:16" hidden="1" x14ac:dyDescent="0.25">
      <c r="E717" s="43">
        <f>COUNTIF($O$7:O717,FORMULARIO!$AA$2)</f>
        <v>1</v>
      </c>
      <c r="M717" s="46"/>
      <c r="P717" s="16"/>
    </row>
    <row r="718" spans="5:16" hidden="1" x14ac:dyDescent="0.25">
      <c r="E718" s="43">
        <f>COUNTIF($O$7:O718,FORMULARIO!$AA$2)</f>
        <v>1</v>
      </c>
      <c r="M718" s="46"/>
      <c r="P718" s="16"/>
    </row>
    <row r="719" spans="5:16" hidden="1" x14ac:dyDescent="0.25">
      <c r="E719" s="43">
        <f>COUNTIF($O$7:O719,FORMULARIO!$AA$2)</f>
        <v>1</v>
      </c>
      <c r="M719" s="46"/>
      <c r="P719" s="16"/>
    </row>
    <row r="720" spans="5:16" hidden="1" x14ac:dyDescent="0.25">
      <c r="E720" s="43">
        <f>COUNTIF($O$7:O720,FORMULARIO!$AA$2)</f>
        <v>1</v>
      </c>
      <c r="M720" s="46"/>
      <c r="P720" s="16"/>
    </row>
    <row r="721" spans="5:16" hidden="1" x14ac:dyDescent="0.25">
      <c r="E721" s="43">
        <f>COUNTIF($O$7:O721,FORMULARIO!$AA$2)</f>
        <v>1</v>
      </c>
      <c r="M721" s="46"/>
      <c r="P721" s="16"/>
    </row>
    <row r="722" spans="5:16" hidden="1" x14ac:dyDescent="0.25">
      <c r="E722" s="43">
        <f>COUNTIF($O$7:O722,FORMULARIO!$AA$2)</f>
        <v>1</v>
      </c>
      <c r="M722" s="46"/>
      <c r="P722" s="16"/>
    </row>
    <row r="723" spans="5:16" hidden="1" x14ac:dyDescent="0.25">
      <c r="E723" s="43">
        <f>COUNTIF($O$7:O723,FORMULARIO!$AA$2)</f>
        <v>1</v>
      </c>
      <c r="M723" s="46"/>
      <c r="P723" s="16"/>
    </row>
    <row r="724" spans="5:16" hidden="1" x14ac:dyDescent="0.25">
      <c r="E724" s="43">
        <f>COUNTIF($O$7:O724,FORMULARIO!$AA$2)</f>
        <v>1</v>
      </c>
      <c r="M724" s="46"/>
      <c r="P724" s="16"/>
    </row>
    <row r="725" spans="5:16" hidden="1" x14ac:dyDescent="0.25">
      <c r="E725" s="43">
        <f>COUNTIF($O$7:O725,FORMULARIO!$AA$2)</f>
        <v>1</v>
      </c>
      <c r="M725" s="46"/>
      <c r="P725" s="16"/>
    </row>
    <row r="726" spans="5:16" hidden="1" x14ac:dyDescent="0.25">
      <c r="E726" s="43">
        <f>COUNTIF($O$7:O726,FORMULARIO!$AA$2)</f>
        <v>1</v>
      </c>
      <c r="M726" s="46"/>
      <c r="P726" s="16"/>
    </row>
    <row r="727" spans="5:16" hidden="1" x14ac:dyDescent="0.25">
      <c r="E727" s="43">
        <f>COUNTIF($O$7:O727,FORMULARIO!$AA$2)</f>
        <v>1</v>
      </c>
      <c r="M727" s="46"/>
      <c r="P727" s="16"/>
    </row>
    <row r="728" spans="5:16" hidden="1" x14ac:dyDescent="0.25">
      <c r="E728" s="43">
        <f>COUNTIF($O$7:O728,FORMULARIO!$AA$2)</f>
        <v>1</v>
      </c>
      <c r="M728" s="46"/>
      <c r="P728" s="16"/>
    </row>
    <row r="729" spans="5:16" hidden="1" x14ac:dyDescent="0.25">
      <c r="E729" s="43">
        <f>COUNTIF($O$7:O729,FORMULARIO!$AA$2)</f>
        <v>1</v>
      </c>
      <c r="M729" s="46"/>
      <c r="P729" s="16"/>
    </row>
    <row r="730" spans="5:16" hidden="1" x14ac:dyDescent="0.25">
      <c r="E730" s="43">
        <f>COUNTIF($O$7:O730,FORMULARIO!$AA$2)</f>
        <v>1</v>
      </c>
      <c r="M730" s="46"/>
      <c r="P730" s="16"/>
    </row>
    <row r="731" spans="5:16" hidden="1" x14ac:dyDescent="0.25">
      <c r="E731" s="43">
        <f>COUNTIF($O$7:O731,FORMULARIO!$AA$2)</f>
        <v>1</v>
      </c>
      <c r="M731" s="46"/>
      <c r="P731" s="16"/>
    </row>
    <row r="732" spans="5:16" hidden="1" x14ac:dyDescent="0.25">
      <c r="E732" s="43">
        <f>COUNTIF($O$7:O732,FORMULARIO!$AA$2)</f>
        <v>1</v>
      </c>
      <c r="M732" s="46"/>
      <c r="P732" s="16"/>
    </row>
    <row r="733" spans="5:16" hidden="1" x14ac:dyDescent="0.25">
      <c r="E733" s="43">
        <f>COUNTIF($O$7:O733,FORMULARIO!$AA$2)</f>
        <v>1</v>
      </c>
      <c r="M733" s="46"/>
      <c r="P733" s="16"/>
    </row>
    <row r="734" spans="5:16" hidden="1" x14ac:dyDescent="0.25">
      <c r="E734" s="43">
        <f>COUNTIF($O$7:O734,FORMULARIO!$AA$2)</f>
        <v>1</v>
      </c>
      <c r="M734" s="46"/>
      <c r="P734" s="16"/>
    </row>
    <row r="735" spans="5:16" hidden="1" x14ac:dyDescent="0.25">
      <c r="E735" s="43">
        <f>COUNTIF($O$7:O735,FORMULARIO!$AA$2)</f>
        <v>1</v>
      </c>
      <c r="M735" s="46"/>
      <c r="P735" s="16"/>
    </row>
    <row r="736" spans="5:16" hidden="1" x14ac:dyDescent="0.25">
      <c r="E736" s="43">
        <f>COUNTIF($O$7:O736,FORMULARIO!$AA$2)</f>
        <v>1</v>
      </c>
      <c r="M736" s="46"/>
      <c r="P736" s="16"/>
    </row>
    <row r="737" spans="5:16" hidden="1" x14ac:dyDescent="0.25">
      <c r="E737" s="43">
        <f>COUNTIF($O$7:O737,FORMULARIO!$AA$2)</f>
        <v>1</v>
      </c>
      <c r="M737" s="46"/>
      <c r="P737" s="16"/>
    </row>
    <row r="738" spans="5:16" hidden="1" x14ac:dyDescent="0.25">
      <c r="E738" s="43">
        <f>COUNTIF($O$7:O738,FORMULARIO!$AA$2)</f>
        <v>1</v>
      </c>
      <c r="M738" s="46"/>
      <c r="P738" s="16"/>
    </row>
    <row r="739" spans="5:16" hidden="1" x14ac:dyDescent="0.25">
      <c r="E739" s="43">
        <f>COUNTIF($O$7:O739,FORMULARIO!$AA$2)</f>
        <v>1</v>
      </c>
      <c r="M739" s="46"/>
      <c r="P739" s="16"/>
    </row>
    <row r="740" spans="5:16" hidden="1" x14ac:dyDescent="0.25">
      <c r="E740" s="43">
        <f>COUNTIF($O$7:O740,FORMULARIO!$AA$2)</f>
        <v>1</v>
      </c>
      <c r="M740" s="46"/>
      <c r="P740" s="16"/>
    </row>
    <row r="741" spans="5:16" hidden="1" x14ac:dyDescent="0.25">
      <c r="E741" s="43">
        <f>COUNTIF($O$7:O741,FORMULARIO!$AA$2)</f>
        <v>1</v>
      </c>
      <c r="M741" s="46"/>
      <c r="P741" s="16"/>
    </row>
    <row r="742" spans="5:16" hidden="1" x14ac:dyDescent="0.25">
      <c r="E742" s="43">
        <f>COUNTIF($O$7:O742,FORMULARIO!$AA$2)</f>
        <v>1</v>
      </c>
      <c r="M742" s="46"/>
      <c r="P742" s="16"/>
    </row>
    <row r="743" spans="5:16" hidden="1" x14ac:dyDescent="0.25">
      <c r="E743" s="43">
        <f>COUNTIF($O$7:O743,FORMULARIO!$AA$2)</f>
        <v>1</v>
      </c>
      <c r="M743" s="46"/>
      <c r="P743" s="16"/>
    </row>
    <row r="744" spans="5:16" hidden="1" x14ac:dyDescent="0.25">
      <c r="E744" s="43">
        <f>COUNTIF($O$7:O744,FORMULARIO!$AA$2)</f>
        <v>1</v>
      </c>
      <c r="M744" s="46"/>
      <c r="P744" s="16"/>
    </row>
    <row r="745" spans="5:16" hidden="1" x14ac:dyDescent="0.25">
      <c r="E745" s="43">
        <f>COUNTIF($O$7:O745,FORMULARIO!$AA$2)</f>
        <v>1</v>
      </c>
      <c r="M745" s="46"/>
      <c r="P745" s="16"/>
    </row>
    <row r="746" spans="5:16" hidden="1" x14ac:dyDescent="0.25">
      <c r="E746" s="43">
        <f>COUNTIF($O$7:O746,FORMULARIO!$AA$2)</f>
        <v>1</v>
      </c>
      <c r="M746" s="46"/>
      <c r="P746" s="16"/>
    </row>
    <row r="747" spans="5:16" hidden="1" x14ac:dyDescent="0.25">
      <c r="E747" s="43">
        <f>COUNTIF($O$7:O747,FORMULARIO!$AA$2)</f>
        <v>1</v>
      </c>
      <c r="M747" s="46"/>
      <c r="P747" s="16"/>
    </row>
    <row r="748" spans="5:16" hidden="1" x14ac:dyDescent="0.25">
      <c r="E748" s="43">
        <f>COUNTIF($O$7:O748,FORMULARIO!$AA$2)</f>
        <v>1</v>
      </c>
      <c r="M748" s="46"/>
      <c r="P748" s="16"/>
    </row>
    <row r="749" spans="5:16" hidden="1" x14ac:dyDescent="0.25">
      <c r="E749" s="43">
        <f>COUNTIF($O$7:O749,FORMULARIO!$AA$2)</f>
        <v>1</v>
      </c>
      <c r="M749" s="46"/>
      <c r="P749" s="16"/>
    </row>
    <row r="750" spans="5:16" hidden="1" x14ac:dyDescent="0.25">
      <c r="E750" s="43">
        <f>COUNTIF($O$7:O750,FORMULARIO!$AA$2)</f>
        <v>1</v>
      </c>
      <c r="M750" s="46"/>
      <c r="P750" s="16"/>
    </row>
    <row r="751" spans="5:16" hidden="1" x14ac:dyDescent="0.25">
      <c r="E751" s="43">
        <f>COUNTIF($O$7:O751,FORMULARIO!$AA$2)</f>
        <v>1</v>
      </c>
      <c r="M751" s="46"/>
      <c r="P751" s="16"/>
    </row>
    <row r="752" spans="5:16" hidden="1" x14ac:dyDescent="0.25">
      <c r="E752" s="43">
        <f>COUNTIF($O$7:O752,FORMULARIO!$AA$2)</f>
        <v>1</v>
      </c>
      <c r="M752" s="46"/>
      <c r="P752" s="16"/>
    </row>
    <row r="753" spans="5:16" hidden="1" x14ac:dyDescent="0.25">
      <c r="E753" s="43">
        <f>COUNTIF($O$7:O753,FORMULARIO!$AA$2)</f>
        <v>1</v>
      </c>
      <c r="M753" s="46"/>
      <c r="P753" s="16"/>
    </row>
    <row r="754" spans="5:16" hidden="1" x14ac:dyDescent="0.25">
      <c r="E754" s="43">
        <f>COUNTIF($O$7:O754,FORMULARIO!$AA$2)</f>
        <v>1</v>
      </c>
      <c r="M754" s="46"/>
      <c r="P754" s="16"/>
    </row>
    <row r="755" spans="5:16" hidden="1" x14ac:dyDescent="0.25">
      <c r="E755" s="43">
        <f>COUNTIF($O$7:O755,FORMULARIO!$AA$2)</f>
        <v>1</v>
      </c>
      <c r="M755" s="46"/>
      <c r="P755" s="16"/>
    </row>
    <row r="756" spans="5:16" hidden="1" x14ac:dyDescent="0.25">
      <c r="E756" s="43">
        <f>COUNTIF($O$7:O756,FORMULARIO!$AA$2)</f>
        <v>1</v>
      </c>
      <c r="M756" s="46"/>
      <c r="P756" s="16"/>
    </row>
    <row r="757" spans="5:16" hidden="1" x14ac:dyDescent="0.25">
      <c r="E757" s="43">
        <f>COUNTIF($O$7:O757,FORMULARIO!$AA$2)</f>
        <v>1</v>
      </c>
      <c r="M757" s="46"/>
      <c r="P757" s="16"/>
    </row>
    <row r="758" spans="5:16" hidden="1" x14ac:dyDescent="0.25">
      <c r="E758" s="43">
        <f>COUNTIF($O$7:O758,FORMULARIO!$AA$2)</f>
        <v>1</v>
      </c>
      <c r="M758" s="46"/>
      <c r="P758" s="16"/>
    </row>
    <row r="759" spans="5:16" hidden="1" x14ac:dyDescent="0.25">
      <c r="E759" s="43">
        <f>COUNTIF($O$7:O759,FORMULARIO!$AA$2)</f>
        <v>1</v>
      </c>
      <c r="M759" s="46"/>
      <c r="P759" s="16"/>
    </row>
    <row r="760" spans="5:16" hidden="1" x14ac:dyDescent="0.25">
      <c r="E760" s="43">
        <f>COUNTIF($O$7:O760,FORMULARIO!$AA$2)</f>
        <v>1</v>
      </c>
      <c r="M760" s="46"/>
      <c r="P760" s="16"/>
    </row>
    <row r="761" spans="5:16" hidden="1" x14ac:dyDescent="0.25">
      <c r="E761" s="43">
        <f>COUNTIF($O$7:O761,FORMULARIO!$AA$2)</f>
        <v>1</v>
      </c>
      <c r="M761" s="46"/>
      <c r="P761" s="16"/>
    </row>
    <row r="762" spans="5:16" hidden="1" x14ac:dyDescent="0.25">
      <c r="E762" s="43">
        <f>COUNTIF($O$7:O762,FORMULARIO!$AA$2)</f>
        <v>1</v>
      </c>
      <c r="M762" s="46"/>
      <c r="P762" s="16"/>
    </row>
    <row r="763" spans="5:16" hidden="1" x14ac:dyDescent="0.25">
      <c r="E763" s="43">
        <f>COUNTIF($O$7:O763,FORMULARIO!$AA$2)</f>
        <v>1</v>
      </c>
      <c r="M763" s="46"/>
      <c r="P763" s="16"/>
    </row>
    <row r="764" spans="5:16" hidden="1" x14ac:dyDescent="0.25">
      <c r="E764" s="43">
        <f>COUNTIF($O$7:O764,FORMULARIO!$AA$2)</f>
        <v>1</v>
      </c>
      <c r="M764" s="46"/>
      <c r="P764" s="16"/>
    </row>
    <row r="765" spans="5:16" hidden="1" x14ac:dyDescent="0.25">
      <c r="E765" s="43">
        <f>COUNTIF($O$7:O765,FORMULARIO!$AA$2)</f>
        <v>1</v>
      </c>
      <c r="M765" s="46"/>
      <c r="P765" s="16"/>
    </row>
    <row r="766" spans="5:16" hidden="1" x14ac:dyDescent="0.25">
      <c r="E766" s="43">
        <f>COUNTIF($O$7:O766,FORMULARIO!$AA$2)</f>
        <v>1</v>
      </c>
      <c r="M766" s="46"/>
      <c r="P766" s="16"/>
    </row>
    <row r="767" spans="5:16" hidden="1" x14ac:dyDescent="0.25">
      <c r="E767" s="43">
        <f>COUNTIF($O$7:O767,FORMULARIO!$AA$2)</f>
        <v>1</v>
      </c>
      <c r="M767" s="46"/>
      <c r="P767" s="16"/>
    </row>
    <row r="768" spans="5:16" hidden="1" x14ac:dyDescent="0.25">
      <c r="E768" s="43">
        <f>COUNTIF($O$7:O768,FORMULARIO!$AA$2)</f>
        <v>1</v>
      </c>
      <c r="M768" s="46"/>
      <c r="P768" s="16"/>
    </row>
    <row r="769" spans="5:16" hidden="1" x14ac:dyDescent="0.25">
      <c r="E769" s="43">
        <f>COUNTIF($O$7:O769,FORMULARIO!$AA$2)</f>
        <v>1</v>
      </c>
      <c r="M769" s="46"/>
      <c r="P769" s="16"/>
    </row>
    <row r="770" spans="5:16" hidden="1" x14ac:dyDescent="0.25">
      <c r="E770" s="43">
        <f>COUNTIF($O$7:O770,FORMULARIO!$AA$2)</f>
        <v>1</v>
      </c>
      <c r="M770" s="46"/>
      <c r="P770" s="16"/>
    </row>
    <row r="771" spans="5:16" hidden="1" x14ac:dyDescent="0.25">
      <c r="E771" s="43">
        <f>COUNTIF($O$7:O771,FORMULARIO!$AA$2)</f>
        <v>1</v>
      </c>
      <c r="M771" s="46"/>
      <c r="P771" s="16"/>
    </row>
    <row r="772" spans="5:16" hidden="1" x14ac:dyDescent="0.25">
      <c r="E772" s="43">
        <f>COUNTIF($O$7:O772,FORMULARIO!$AA$2)</f>
        <v>1</v>
      </c>
      <c r="M772" s="46"/>
      <c r="P772" s="16"/>
    </row>
    <row r="773" spans="5:16" hidden="1" x14ac:dyDescent="0.25">
      <c r="E773" s="43">
        <f>COUNTIF($O$7:O773,FORMULARIO!$AA$2)</f>
        <v>1</v>
      </c>
      <c r="M773" s="46"/>
      <c r="P773" s="16"/>
    </row>
    <row r="774" spans="5:16" hidden="1" x14ac:dyDescent="0.25">
      <c r="E774" s="43">
        <f>COUNTIF($O$7:O774,FORMULARIO!$AA$2)</f>
        <v>1</v>
      </c>
      <c r="M774" s="46"/>
      <c r="P774" s="16"/>
    </row>
    <row r="775" spans="5:16" hidden="1" x14ac:dyDescent="0.25">
      <c r="E775" s="43">
        <f>COUNTIF($O$7:O775,FORMULARIO!$AA$2)</f>
        <v>1</v>
      </c>
      <c r="M775" s="46"/>
      <c r="P775" s="16"/>
    </row>
    <row r="776" spans="5:16" hidden="1" x14ac:dyDescent="0.25">
      <c r="E776" s="43">
        <f>COUNTIF($O$7:O776,FORMULARIO!$AA$2)</f>
        <v>1</v>
      </c>
      <c r="M776" s="46"/>
      <c r="P776" s="16"/>
    </row>
    <row r="777" spans="5:16" hidden="1" x14ac:dyDescent="0.25">
      <c r="E777" s="43">
        <f>COUNTIF($O$7:O777,FORMULARIO!$AA$2)</f>
        <v>1</v>
      </c>
      <c r="M777" s="46"/>
      <c r="P777" s="16"/>
    </row>
    <row r="778" spans="5:16" hidden="1" x14ac:dyDescent="0.25">
      <c r="E778" s="43">
        <f>COUNTIF($O$7:O778,FORMULARIO!$AA$2)</f>
        <v>1</v>
      </c>
      <c r="M778" s="46"/>
      <c r="P778" s="16"/>
    </row>
    <row r="779" spans="5:16" hidden="1" x14ac:dyDescent="0.25">
      <c r="E779" s="43">
        <f>COUNTIF($O$7:O779,FORMULARIO!$AA$2)</f>
        <v>1</v>
      </c>
      <c r="M779" s="46"/>
      <c r="P779" s="16"/>
    </row>
    <row r="780" spans="5:16" hidden="1" x14ac:dyDescent="0.25">
      <c r="E780" s="43">
        <f>COUNTIF($O$7:O780,FORMULARIO!$AA$2)</f>
        <v>1</v>
      </c>
      <c r="M780" s="46"/>
      <c r="P780" s="16"/>
    </row>
    <row r="781" spans="5:16" hidden="1" x14ac:dyDescent="0.25">
      <c r="E781" s="43">
        <f>COUNTIF($O$7:O781,FORMULARIO!$AA$2)</f>
        <v>1</v>
      </c>
      <c r="M781" s="46"/>
      <c r="P781" s="16"/>
    </row>
    <row r="782" spans="5:16" hidden="1" x14ac:dyDescent="0.25">
      <c r="E782" s="43">
        <f>COUNTIF($O$7:O782,FORMULARIO!$AA$2)</f>
        <v>1</v>
      </c>
      <c r="M782" s="46"/>
      <c r="P782" s="16"/>
    </row>
    <row r="783" spans="5:16" hidden="1" x14ac:dyDescent="0.25">
      <c r="E783" s="43">
        <f>COUNTIF($O$7:O783,FORMULARIO!$AA$2)</f>
        <v>1</v>
      </c>
      <c r="M783" s="46"/>
      <c r="P783" s="16"/>
    </row>
    <row r="784" spans="5:16" hidden="1" x14ac:dyDescent="0.25">
      <c r="E784" s="43">
        <f>COUNTIF($O$7:O784,FORMULARIO!$AA$2)</f>
        <v>1</v>
      </c>
      <c r="M784" s="46"/>
      <c r="P784" s="16"/>
    </row>
    <row r="785" spans="5:16" hidden="1" x14ac:dyDescent="0.25">
      <c r="E785" s="43">
        <f>COUNTIF($O$7:O785,FORMULARIO!$AA$2)</f>
        <v>1</v>
      </c>
      <c r="M785" s="46"/>
      <c r="P785" s="16"/>
    </row>
    <row r="786" spans="5:16" hidden="1" x14ac:dyDescent="0.25">
      <c r="E786" s="43">
        <f>COUNTIF($O$7:O786,FORMULARIO!$AA$2)</f>
        <v>1</v>
      </c>
      <c r="M786" s="46"/>
      <c r="P786" s="16"/>
    </row>
    <row r="787" spans="5:16" hidden="1" x14ac:dyDescent="0.25">
      <c r="E787" s="43">
        <f>COUNTIF($O$7:O787,FORMULARIO!$AA$2)</f>
        <v>1</v>
      </c>
      <c r="M787" s="46"/>
      <c r="P787" s="16"/>
    </row>
    <row r="788" spans="5:16" hidden="1" x14ac:dyDescent="0.25">
      <c r="E788" s="43">
        <f>COUNTIF($O$7:O788,FORMULARIO!$AA$2)</f>
        <v>1</v>
      </c>
      <c r="M788" s="46"/>
      <c r="P788" s="16"/>
    </row>
    <row r="789" spans="5:16" hidden="1" x14ac:dyDescent="0.25">
      <c r="E789" s="43">
        <f>COUNTIF($O$7:O789,FORMULARIO!$AA$2)</f>
        <v>1</v>
      </c>
      <c r="M789" s="46"/>
      <c r="P789" s="16"/>
    </row>
    <row r="790" spans="5:16" hidden="1" x14ac:dyDescent="0.25">
      <c r="E790" s="43">
        <f>COUNTIF($O$7:O790,FORMULARIO!$AA$2)</f>
        <v>1</v>
      </c>
      <c r="M790" s="46"/>
      <c r="P790" s="16"/>
    </row>
    <row r="791" spans="5:16" hidden="1" x14ac:dyDescent="0.25">
      <c r="E791" s="43">
        <f>COUNTIF($O$7:O791,FORMULARIO!$AA$2)</f>
        <v>1</v>
      </c>
      <c r="M791" s="46"/>
      <c r="P791" s="16"/>
    </row>
    <row r="792" spans="5:16" hidden="1" x14ac:dyDescent="0.25">
      <c r="E792" s="43">
        <f>COUNTIF($O$7:O792,FORMULARIO!$AA$2)</f>
        <v>1</v>
      </c>
      <c r="M792" s="46"/>
      <c r="P792" s="16"/>
    </row>
    <row r="793" spans="5:16" hidden="1" x14ac:dyDescent="0.25">
      <c r="E793" s="43">
        <f>COUNTIF($O$7:O793,FORMULARIO!$AA$2)</f>
        <v>1</v>
      </c>
      <c r="M793" s="46"/>
      <c r="P793" s="16"/>
    </row>
    <row r="794" spans="5:16" hidden="1" x14ac:dyDescent="0.25">
      <c r="E794" s="43">
        <f>COUNTIF($O$7:O794,FORMULARIO!$AA$2)</f>
        <v>1</v>
      </c>
      <c r="M794" s="46"/>
      <c r="P794" s="16"/>
    </row>
    <row r="795" spans="5:16" hidden="1" x14ac:dyDescent="0.25">
      <c r="E795" s="43">
        <f>COUNTIF($O$7:O795,FORMULARIO!$AA$2)</f>
        <v>1</v>
      </c>
      <c r="M795" s="46"/>
      <c r="P795" s="16"/>
    </row>
    <row r="796" spans="5:16" hidden="1" x14ac:dyDescent="0.25">
      <c r="E796" s="43">
        <f>COUNTIF($O$7:O796,FORMULARIO!$AA$2)</f>
        <v>1</v>
      </c>
      <c r="M796" s="46"/>
      <c r="P796" s="16"/>
    </row>
    <row r="797" spans="5:16" hidden="1" x14ac:dyDescent="0.25">
      <c r="E797" s="43">
        <f>COUNTIF($O$7:O797,FORMULARIO!$AA$2)</f>
        <v>1</v>
      </c>
      <c r="M797" s="46"/>
      <c r="P797" s="16"/>
    </row>
    <row r="798" spans="5:16" hidden="1" x14ac:dyDescent="0.25">
      <c r="E798" s="43">
        <f>COUNTIF($O$7:O798,FORMULARIO!$AA$2)</f>
        <v>1</v>
      </c>
      <c r="M798" s="46"/>
      <c r="P798" s="16"/>
    </row>
    <row r="799" spans="5:16" hidden="1" x14ac:dyDescent="0.25">
      <c r="E799" s="43">
        <f>COUNTIF($O$7:O799,FORMULARIO!$AA$2)</f>
        <v>1</v>
      </c>
      <c r="M799" s="46"/>
      <c r="P799" s="16"/>
    </row>
    <row r="800" spans="5:16" hidden="1" x14ac:dyDescent="0.25">
      <c r="E800" s="43">
        <f>COUNTIF($O$7:O800,FORMULARIO!$AA$2)</f>
        <v>1</v>
      </c>
      <c r="M800" s="46"/>
      <c r="P800" s="16"/>
    </row>
    <row r="801" spans="5:16" hidden="1" x14ac:dyDescent="0.25">
      <c r="E801" s="43">
        <f>COUNTIF($O$7:O801,FORMULARIO!$AA$2)</f>
        <v>1</v>
      </c>
      <c r="M801" s="46"/>
      <c r="P801" s="16"/>
    </row>
    <row r="802" spans="5:16" hidden="1" x14ac:dyDescent="0.25">
      <c r="E802" s="43">
        <f>COUNTIF($O$7:O802,FORMULARIO!$AA$2)</f>
        <v>1</v>
      </c>
      <c r="M802" s="46"/>
      <c r="P802" s="16"/>
    </row>
    <row r="803" spans="5:16" hidden="1" x14ac:dyDescent="0.25">
      <c r="E803" s="43">
        <f>COUNTIF($O$7:O803,FORMULARIO!$AA$2)</f>
        <v>1</v>
      </c>
      <c r="M803" s="46"/>
      <c r="P803" s="16"/>
    </row>
    <row r="804" spans="5:16" hidden="1" x14ac:dyDescent="0.25">
      <c r="E804" s="43">
        <f>COUNTIF($O$7:O804,FORMULARIO!$AA$2)</f>
        <v>1</v>
      </c>
      <c r="M804" s="46"/>
      <c r="P804" s="16"/>
    </row>
    <row r="805" spans="5:16" hidden="1" x14ac:dyDescent="0.25">
      <c r="E805" s="43">
        <f>COUNTIF($O$7:O805,FORMULARIO!$AA$2)</f>
        <v>1</v>
      </c>
      <c r="M805" s="46"/>
      <c r="P805" s="16"/>
    </row>
    <row r="806" spans="5:16" hidden="1" x14ac:dyDescent="0.25">
      <c r="E806" s="43">
        <f>COUNTIF($O$7:O806,FORMULARIO!$AA$2)</f>
        <v>1</v>
      </c>
      <c r="M806" s="46"/>
      <c r="P806" s="16"/>
    </row>
    <row r="807" spans="5:16" hidden="1" x14ac:dyDescent="0.25">
      <c r="E807" s="43">
        <f>COUNTIF($O$7:O807,FORMULARIO!$AA$2)</f>
        <v>1</v>
      </c>
      <c r="M807" s="46"/>
      <c r="P807" s="16"/>
    </row>
    <row r="808" spans="5:16" hidden="1" x14ac:dyDescent="0.25">
      <c r="E808" s="43">
        <f>COUNTIF($O$7:O808,FORMULARIO!$AA$2)</f>
        <v>1</v>
      </c>
      <c r="M808" s="46"/>
      <c r="P808" s="16"/>
    </row>
    <row r="809" spans="5:16" hidden="1" x14ac:dyDescent="0.25">
      <c r="E809" s="43">
        <f>COUNTIF($O$7:O809,FORMULARIO!$AA$2)</f>
        <v>1</v>
      </c>
      <c r="M809" s="46"/>
      <c r="P809" s="16"/>
    </row>
    <row r="810" spans="5:16" hidden="1" x14ac:dyDescent="0.25">
      <c r="E810" s="43">
        <f>COUNTIF($O$7:O810,FORMULARIO!$AA$2)</f>
        <v>1</v>
      </c>
      <c r="M810" s="46"/>
      <c r="P810" s="16"/>
    </row>
    <row r="811" spans="5:16" hidden="1" x14ac:dyDescent="0.25">
      <c r="E811" s="43">
        <f>COUNTIF($O$7:O811,FORMULARIO!$AA$2)</f>
        <v>1</v>
      </c>
      <c r="M811" s="46"/>
      <c r="P811" s="16"/>
    </row>
    <row r="812" spans="5:16" hidden="1" x14ac:dyDescent="0.25">
      <c r="E812" s="43">
        <f>COUNTIF($O$7:O812,FORMULARIO!$AA$2)</f>
        <v>1</v>
      </c>
      <c r="M812" s="46"/>
      <c r="P812" s="16"/>
    </row>
    <row r="813" spans="5:16" hidden="1" x14ac:dyDescent="0.25">
      <c r="E813" s="43">
        <f>COUNTIF($O$7:O813,FORMULARIO!$AA$2)</f>
        <v>1</v>
      </c>
      <c r="M813" s="46"/>
      <c r="P813" s="16"/>
    </row>
    <row r="814" spans="5:16" hidden="1" x14ac:dyDescent="0.25">
      <c r="E814" s="43">
        <f>COUNTIF($O$7:O814,FORMULARIO!$AA$2)</f>
        <v>1</v>
      </c>
      <c r="M814" s="46"/>
      <c r="P814" s="16"/>
    </row>
    <row r="815" spans="5:16" hidden="1" x14ac:dyDescent="0.25">
      <c r="E815" s="43">
        <f>COUNTIF($O$7:O815,FORMULARIO!$AA$2)</f>
        <v>1</v>
      </c>
      <c r="M815" s="46"/>
      <c r="P815" s="16"/>
    </row>
    <row r="816" spans="5:16" hidden="1" x14ac:dyDescent="0.25">
      <c r="E816" s="43">
        <f>COUNTIF($O$7:O816,FORMULARIO!$AA$2)</f>
        <v>1</v>
      </c>
      <c r="M816" s="46"/>
      <c r="P816" s="16"/>
    </row>
    <row r="817" spans="5:16" hidden="1" x14ac:dyDescent="0.25">
      <c r="E817" s="43">
        <f>COUNTIF($O$7:O817,FORMULARIO!$AA$2)</f>
        <v>1</v>
      </c>
      <c r="M817" s="46"/>
      <c r="P817" s="16"/>
    </row>
    <row r="818" spans="5:16" hidden="1" x14ac:dyDescent="0.25">
      <c r="E818" s="43">
        <f>COUNTIF($O$7:O818,FORMULARIO!$AA$2)</f>
        <v>1</v>
      </c>
      <c r="M818" s="46"/>
      <c r="P818" s="16"/>
    </row>
    <row r="819" spans="5:16" hidden="1" x14ac:dyDescent="0.25">
      <c r="E819" s="43">
        <f>COUNTIF($O$7:O819,FORMULARIO!$AA$2)</f>
        <v>1</v>
      </c>
      <c r="M819" s="46"/>
      <c r="P819" s="16"/>
    </row>
    <row r="820" spans="5:16" hidden="1" x14ac:dyDescent="0.25">
      <c r="E820" s="43">
        <f>COUNTIF($O$7:O820,FORMULARIO!$AA$2)</f>
        <v>1</v>
      </c>
      <c r="M820" s="46"/>
      <c r="P820" s="16"/>
    </row>
    <row r="821" spans="5:16" hidden="1" x14ac:dyDescent="0.25">
      <c r="E821" s="43">
        <f>COUNTIF($O$7:O821,FORMULARIO!$AA$2)</f>
        <v>1</v>
      </c>
      <c r="M821" s="46"/>
      <c r="P821" s="16"/>
    </row>
    <row r="822" spans="5:16" hidden="1" x14ac:dyDescent="0.25">
      <c r="E822" s="43">
        <f>COUNTIF($O$7:O822,FORMULARIO!$AA$2)</f>
        <v>1</v>
      </c>
      <c r="M822" s="46"/>
      <c r="P822" s="16"/>
    </row>
    <row r="823" spans="5:16" hidden="1" x14ac:dyDescent="0.25">
      <c r="E823" s="43">
        <f>COUNTIF($O$7:O823,FORMULARIO!$AA$2)</f>
        <v>1</v>
      </c>
      <c r="M823" s="46"/>
      <c r="P823" s="16"/>
    </row>
    <row r="824" spans="5:16" hidden="1" x14ac:dyDescent="0.25">
      <c r="E824" s="43">
        <f>COUNTIF($O$7:O824,FORMULARIO!$AA$2)</f>
        <v>1</v>
      </c>
      <c r="M824" s="46"/>
      <c r="P824" s="16"/>
    </row>
    <row r="825" spans="5:16" hidden="1" x14ac:dyDescent="0.25">
      <c r="E825" s="43">
        <f>COUNTIF($O$7:O825,FORMULARIO!$AA$2)</f>
        <v>1</v>
      </c>
      <c r="M825" s="46"/>
      <c r="P825" s="16"/>
    </row>
    <row r="826" spans="5:16" hidden="1" x14ac:dyDescent="0.25">
      <c r="E826" s="43">
        <f>COUNTIF($O$7:O826,FORMULARIO!$AA$2)</f>
        <v>1</v>
      </c>
      <c r="M826" s="46"/>
      <c r="P826" s="16"/>
    </row>
    <row r="827" spans="5:16" hidden="1" x14ac:dyDescent="0.25">
      <c r="E827" s="43">
        <f>COUNTIF($O$7:O827,FORMULARIO!$AA$2)</f>
        <v>1</v>
      </c>
      <c r="M827" s="46"/>
      <c r="P827" s="16"/>
    </row>
    <row r="828" spans="5:16" hidden="1" x14ac:dyDescent="0.25">
      <c r="E828" s="43">
        <f>COUNTIF($O$7:O828,FORMULARIO!$AA$2)</f>
        <v>1</v>
      </c>
      <c r="M828" s="46"/>
      <c r="P828" s="16"/>
    </row>
    <row r="829" spans="5:16" hidden="1" x14ac:dyDescent="0.25">
      <c r="E829" s="43">
        <f>COUNTIF($O$7:O829,FORMULARIO!$AA$2)</f>
        <v>1</v>
      </c>
      <c r="M829" s="46"/>
      <c r="P829" s="16"/>
    </row>
    <row r="830" spans="5:16" hidden="1" x14ac:dyDescent="0.25">
      <c r="E830" s="43">
        <f>COUNTIF($O$7:O830,FORMULARIO!$AA$2)</f>
        <v>1</v>
      </c>
      <c r="M830" s="46"/>
      <c r="P830" s="16"/>
    </row>
    <row r="831" spans="5:16" hidden="1" x14ac:dyDescent="0.25">
      <c r="E831" s="43">
        <f>COUNTIF($O$7:O831,FORMULARIO!$AA$2)</f>
        <v>1</v>
      </c>
      <c r="M831" s="46"/>
      <c r="P831" s="16"/>
    </row>
    <row r="832" spans="5:16" hidden="1" x14ac:dyDescent="0.25">
      <c r="E832" s="43">
        <f>COUNTIF($O$7:O832,FORMULARIO!$AA$2)</f>
        <v>1</v>
      </c>
      <c r="M832" s="46"/>
      <c r="P832" s="16"/>
    </row>
    <row r="833" spans="5:16" hidden="1" x14ac:dyDescent="0.25">
      <c r="E833" s="43">
        <f>COUNTIF($O$7:O833,FORMULARIO!$AA$2)</f>
        <v>1</v>
      </c>
      <c r="M833" s="46"/>
      <c r="P833" s="16"/>
    </row>
    <row r="834" spans="5:16" hidden="1" x14ac:dyDescent="0.25">
      <c r="E834" s="43">
        <f>COUNTIF($O$7:O834,FORMULARIO!$AA$2)</f>
        <v>1</v>
      </c>
      <c r="M834" s="46"/>
      <c r="P834" s="16"/>
    </row>
    <row r="835" spans="5:16" hidden="1" x14ac:dyDescent="0.25">
      <c r="E835" s="43">
        <f>COUNTIF($O$7:O835,FORMULARIO!$AA$2)</f>
        <v>1</v>
      </c>
      <c r="M835" s="46"/>
      <c r="P835" s="16"/>
    </row>
    <row r="836" spans="5:16" hidden="1" x14ac:dyDescent="0.25">
      <c r="E836" s="43">
        <f>COUNTIF($O$7:O836,FORMULARIO!$AA$2)</f>
        <v>1</v>
      </c>
      <c r="M836" s="46"/>
      <c r="P836" s="16"/>
    </row>
    <row r="837" spans="5:16" hidden="1" x14ac:dyDescent="0.25">
      <c r="E837" s="43">
        <f>COUNTIF($O$7:O837,FORMULARIO!$AA$2)</f>
        <v>1</v>
      </c>
      <c r="M837" s="46"/>
      <c r="P837" s="16"/>
    </row>
    <row r="838" spans="5:16" hidden="1" x14ac:dyDescent="0.25">
      <c r="E838" s="43">
        <f>COUNTIF($O$7:O838,FORMULARIO!$AA$2)</f>
        <v>1</v>
      </c>
      <c r="M838" s="46"/>
      <c r="P838" s="16"/>
    </row>
    <row r="839" spans="5:16" hidden="1" x14ac:dyDescent="0.25">
      <c r="E839" s="43">
        <f>COUNTIF($O$7:O839,FORMULARIO!$AA$2)</f>
        <v>1</v>
      </c>
      <c r="M839" s="46"/>
      <c r="P839" s="16"/>
    </row>
    <row r="840" spans="5:16" hidden="1" x14ac:dyDescent="0.25">
      <c r="E840" s="43">
        <f>COUNTIF($O$7:O840,FORMULARIO!$AA$2)</f>
        <v>1</v>
      </c>
      <c r="M840" s="46"/>
      <c r="P840" s="16"/>
    </row>
    <row r="841" spans="5:16" hidden="1" x14ac:dyDescent="0.25">
      <c r="E841" s="43">
        <f>COUNTIF($O$7:O841,FORMULARIO!$AA$2)</f>
        <v>1</v>
      </c>
      <c r="M841" s="46"/>
      <c r="P841" s="16"/>
    </row>
    <row r="842" spans="5:16" hidden="1" x14ac:dyDescent="0.25">
      <c r="E842" s="43">
        <f>COUNTIF($O$7:O842,FORMULARIO!$AA$2)</f>
        <v>1</v>
      </c>
      <c r="M842" s="46"/>
      <c r="P842" s="16"/>
    </row>
    <row r="843" spans="5:16" hidden="1" x14ac:dyDescent="0.25">
      <c r="E843" s="43">
        <f>COUNTIF($O$7:O843,FORMULARIO!$AA$2)</f>
        <v>1</v>
      </c>
      <c r="M843" s="46"/>
      <c r="P843" s="16"/>
    </row>
    <row r="844" spans="5:16" hidden="1" x14ac:dyDescent="0.25">
      <c r="E844" s="43">
        <f>COUNTIF($O$7:O844,FORMULARIO!$AA$2)</f>
        <v>1</v>
      </c>
      <c r="M844" s="46"/>
      <c r="P844" s="16"/>
    </row>
    <row r="845" spans="5:16" hidden="1" x14ac:dyDescent="0.25">
      <c r="E845" s="43">
        <f>COUNTIF($O$7:O845,FORMULARIO!$AA$2)</f>
        <v>1</v>
      </c>
      <c r="M845" s="46"/>
      <c r="P845" s="16"/>
    </row>
    <row r="846" spans="5:16" hidden="1" x14ac:dyDescent="0.25">
      <c r="E846" s="43">
        <f>COUNTIF($O$7:O846,FORMULARIO!$AA$2)</f>
        <v>1</v>
      </c>
      <c r="M846" s="46"/>
      <c r="P846" s="16"/>
    </row>
    <row r="847" spans="5:16" hidden="1" x14ac:dyDescent="0.25">
      <c r="E847" s="43">
        <f>COUNTIF($O$7:O847,FORMULARIO!$AA$2)</f>
        <v>1</v>
      </c>
      <c r="M847" s="46"/>
      <c r="P847" s="16"/>
    </row>
    <row r="848" spans="5:16" hidden="1" x14ac:dyDescent="0.25">
      <c r="E848" s="43">
        <f>COUNTIF($O$7:O848,FORMULARIO!$AA$2)</f>
        <v>1</v>
      </c>
      <c r="M848" s="46"/>
      <c r="P848" s="16"/>
    </row>
    <row r="849" spans="5:16" hidden="1" x14ac:dyDescent="0.25">
      <c r="E849" s="43">
        <f>COUNTIF($O$7:O849,FORMULARIO!$AA$2)</f>
        <v>1</v>
      </c>
      <c r="M849" s="46"/>
      <c r="P849" s="16"/>
    </row>
    <row r="850" spans="5:16" hidden="1" x14ac:dyDescent="0.25">
      <c r="E850" s="43">
        <f>COUNTIF($O$7:O850,FORMULARIO!$AA$2)</f>
        <v>1</v>
      </c>
      <c r="M850" s="46"/>
      <c r="P850" s="16"/>
    </row>
    <row r="851" spans="5:16" hidden="1" x14ac:dyDescent="0.25">
      <c r="E851" s="43">
        <f>COUNTIF($O$7:O851,FORMULARIO!$AA$2)</f>
        <v>1</v>
      </c>
      <c r="M851" s="46"/>
      <c r="P851" s="16"/>
    </row>
    <row r="852" spans="5:16" hidden="1" x14ac:dyDescent="0.25">
      <c r="E852" s="43">
        <f>COUNTIF($O$7:O852,FORMULARIO!$AA$2)</f>
        <v>1</v>
      </c>
      <c r="M852" s="46"/>
      <c r="P852" s="16"/>
    </row>
    <row r="853" spans="5:16" hidden="1" x14ac:dyDescent="0.25">
      <c r="E853" s="43">
        <f>COUNTIF($O$7:O853,FORMULARIO!$AA$2)</f>
        <v>1</v>
      </c>
      <c r="M853" s="46"/>
      <c r="P853" s="16"/>
    </row>
    <row r="854" spans="5:16" hidden="1" x14ac:dyDescent="0.25">
      <c r="E854" s="43">
        <f>COUNTIF($O$7:O854,FORMULARIO!$AA$2)</f>
        <v>1</v>
      </c>
      <c r="M854" s="46"/>
      <c r="P854" s="16"/>
    </row>
    <row r="855" spans="5:16" hidden="1" x14ac:dyDescent="0.25">
      <c r="E855" s="43">
        <f>COUNTIF($O$7:O855,FORMULARIO!$AA$2)</f>
        <v>1</v>
      </c>
      <c r="M855" s="46"/>
      <c r="P855" s="16"/>
    </row>
    <row r="856" spans="5:16" hidden="1" x14ac:dyDescent="0.25">
      <c r="E856" s="43">
        <f>COUNTIF($O$7:O856,FORMULARIO!$AA$2)</f>
        <v>1</v>
      </c>
      <c r="M856" s="46"/>
      <c r="P856" s="16"/>
    </row>
    <row r="857" spans="5:16" hidden="1" x14ac:dyDescent="0.25">
      <c r="E857" s="43">
        <f>COUNTIF($O$7:O857,FORMULARIO!$AA$2)</f>
        <v>1</v>
      </c>
      <c r="M857" s="46"/>
      <c r="P857" s="16"/>
    </row>
    <row r="858" spans="5:16" hidden="1" x14ac:dyDescent="0.25">
      <c r="E858" s="43">
        <f>COUNTIF($O$7:O858,FORMULARIO!$AA$2)</f>
        <v>1</v>
      </c>
      <c r="M858" s="46"/>
      <c r="P858" s="16"/>
    </row>
    <row r="859" spans="5:16" hidden="1" x14ac:dyDescent="0.25">
      <c r="E859" s="43">
        <f>COUNTIF($O$7:O859,FORMULARIO!$AA$2)</f>
        <v>1</v>
      </c>
      <c r="M859" s="46"/>
      <c r="P859" s="16"/>
    </row>
    <row r="860" spans="5:16" hidden="1" x14ac:dyDescent="0.25">
      <c r="E860" s="43">
        <f>COUNTIF($O$7:O860,FORMULARIO!$AA$2)</f>
        <v>1</v>
      </c>
      <c r="M860" s="46"/>
      <c r="P860" s="16"/>
    </row>
    <row r="861" spans="5:16" hidden="1" x14ac:dyDescent="0.25">
      <c r="E861" s="43">
        <f>COUNTIF($O$7:O861,FORMULARIO!$AA$2)</f>
        <v>1</v>
      </c>
      <c r="M861" s="46"/>
      <c r="P861" s="16"/>
    </row>
    <row r="862" spans="5:16" hidden="1" x14ac:dyDescent="0.25">
      <c r="E862" s="43">
        <f>COUNTIF($O$7:O862,FORMULARIO!$AA$2)</f>
        <v>1</v>
      </c>
      <c r="M862" s="46"/>
      <c r="P862" s="16"/>
    </row>
    <row r="863" spans="5:16" hidden="1" x14ac:dyDescent="0.25">
      <c r="E863" s="43">
        <f>COUNTIF($O$7:O863,FORMULARIO!$AA$2)</f>
        <v>1</v>
      </c>
      <c r="M863" s="46"/>
      <c r="P863" s="16"/>
    </row>
    <row r="864" spans="5:16" hidden="1" x14ac:dyDescent="0.25">
      <c r="E864" s="43">
        <f>COUNTIF($O$7:O864,FORMULARIO!$AA$2)</f>
        <v>1</v>
      </c>
      <c r="M864" s="46"/>
      <c r="P864" s="16"/>
    </row>
    <row r="865" spans="5:16" hidden="1" x14ac:dyDescent="0.25">
      <c r="E865" s="43">
        <f>COUNTIF($O$7:O865,FORMULARIO!$AA$2)</f>
        <v>1</v>
      </c>
      <c r="M865" s="46"/>
      <c r="P865" s="16"/>
    </row>
    <row r="866" spans="5:16" hidden="1" x14ac:dyDescent="0.25">
      <c r="E866" s="43">
        <f>COUNTIF($O$7:O866,FORMULARIO!$AA$2)</f>
        <v>1</v>
      </c>
      <c r="M866" s="46"/>
      <c r="P866" s="16"/>
    </row>
    <row r="867" spans="5:16" hidden="1" x14ac:dyDescent="0.25">
      <c r="E867" s="43">
        <f>COUNTIF($O$7:O867,FORMULARIO!$AA$2)</f>
        <v>1</v>
      </c>
      <c r="M867" s="46"/>
      <c r="P867" s="16"/>
    </row>
    <row r="868" spans="5:16" hidden="1" x14ac:dyDescent="0.25">
      <c r="E868" s="43">
        <f>COUNTIF($O$7:O868,FORMULARIO!$AA$2)</f>
        <v>1</v>
      </c>
      <c r="M868" s="46"/>
      <c r="P868" s="16"/>
    </row>
    <row r="869" spans="5:16" hidden="1" x14ac:dyDescent="0.25">
      <c r="E869" s="43">
        <f>COUNTIF($O$7:O869,FORMULARIO!$AA$2)</f>
        <v>1</v>
      </c>
      <c r="M869" s="46"/>
      <c r="P869" s="16"/>
    </row>
    <row r="870" spans="5:16" hidden="1" x14ac:dyDescent="0.25">
      <c r="E870" s="43">
        <f>COUNTIF($O$7:O870,FORMULARIO!$AA$2)</f>
        <v>1</v>
      </c>
      <c r="M870" s="46"/>
      <c r="P870" s="16"/>
    </row>
    <row r="871" spans="5:16" hidden="1" x14ac:dyDescent="0.25">
      <c r="E871" s="43">
        <f>COUNTIF($O$7:O871,FORMULARIO!$AA$2)</f>
        <v>1</v>
      </c>
      <c r="M871" s="46"/>
      <c r="P871" s="16"/>
    </row>
    <row r="872" spans="5:16" hidden="1" x14ac:dyDescent="0.25">
      <c r="E872" s="43">
        <f>COUNTIF($O$7:O872,FORMULARIO!$AA$2)</f>
        <v>1</v>
      </c>
      <c r="M872" s="46"/>
      <c r="P872" s="16"/>
    </row>
    <row r="873" spans="5:16" hidden="1" x14ac:dyDescent="0.25">
      <c r="E873" s="43">
        <f>COUNTIF($O$7:O873,FORMULARIO!$AA$2)</f>
        <v>1</v>
      </c>
      <c r="M873" s="46"/>
      <c r="P873" s="16"/>
    </row>
    <row r="874" spans="5:16" hidden="1" x14ac:dyDescent="0.25">
      <c r="E874" s="43">
        <f>COUNTIF($O$7:O874,FORMULARIO!$AA$2)</f>
        <v>1</v>
      </c>
      <c r="M874" s="46"/>
      <c r="P874" s="16"/>
    </row>
    <row r="875" spans="5:16" hidden="1" x14ac:dyDescent="0.25">
      <c r="E875" s="43">
        <f>COUNTIF($O$7:O875,FORMULARIO!$AA$2)</f>
        <v>1</v>
      </c>
      <c r="M875" s="46"/>
      <c r="P875" s="16"/>
    </row>
    <row r="876" spans="5:16" hidden="1" x14ac:dyDescent="0.25">
      <c r="E876" s="43">
        <f>COUNTIF($O$7:O876,FORMULARIO!$AA$2)</f>
        <v>1</v>
      </c>
      <c r="M876" s="46"/>
      <c r="P876" s="16"/>
    </row>
    <row r="877" spans="5:16" hidden="1" x14ac:dyDescent="0.25">
      <c r="E877" s="43">
        <f>COUNTIF($O$7:O877,FORMULARIO!$AA$2)</f>
        <v>1</v>
      </c>
      <c r="M877" s="46"/>
      <c r="P877" s="16"/>
    </row>
    <row r="878" spans="5:16" hidden="1" x14ac:dyDescent="0.25">
      <c r="E878" s="43">
        <f>COUNTIF($O$7:O878,FORMULARIO!$AA$2)</f>
        <v>1</v>
      </c>
      <c r="M878" s="46"/>
      <c r="P878" s="16"/>
    </row>
    <row r="879" spans="5:16" hidden="1" x14ac:dyDescent="0.25">
      <c r="E879" s="43">
        <f>COUNTIF($O$7:O879,FORMULARIO!$AA$2)</f>
        <v>1</v>
      </c>
      <c r="M879" s="46"/>
      <c r="P879" s="16"/>
    </row>
    <row r="880" spans="5:16" hidden="1" x14ac:dyDescent="0.25">
      <c r="E880" s="43">
        <f>COUNTIF($O$7:O880,FORMULARIO!$AA$2)</f>
        <v>1</v>
      </c>
      <c r="M880" s="46"/>
      <c r="P880" s="16"/>
    </row>
    <row r="881" spans="5:16" hidden="1" x14ac:dyDescent="0.25">
      <c r="E881" s="43">
        <f>COUNTIF($O$7:O881,FORMULARIO!$AA$2)</f>
        <v>1</v>
      </c>
      <c r="M881" s="46"/>
      <c r="P881" s="16"/>
    </row>
    <row r="882" spans="5:16" hidden="1" x14ac:dyDescent="0.25">
      <c r="E882" s="43">
        <f>COUNTIF($O$7:O882,FORMULARIO!$AA$2)</f>
        <v>1</v>
      </c>
      <c r="M882" s="46"/>
      <c r="P882" s="16"/>
    </row>
    <row r="883" spans="5:16" hidden="1" x14ac:dyDescent="0.25">
      <c r="E883" s="43">
        <f>COUNTIF($O$7:O883,FORMULARIO!$AA$2)</f>
        <v>1</v>
      </c>
      <c r="M883" s="46"/>
      <c r="P883" s="16"/>
    </row>
    <row r="884" spans="5:16" hidden="1" x14ac:dyDescent="0.25">
      <c r="E884" s="43">
        <f>COUNTIF($O$7:O884,FORMULARIO!$AA$2)</f>
        <v>1</v>
      </c>
      <c r="M884" s="46"/>
      <c r="P884" s="16"/>
    </row>
    <row r="885" spans="5:16" hidden="1" x14ac:dyDescent="0.25">
      <c r="E885" s="43">
        <f>COUNTIF($O$7:O885,FORMULARIO!$AA$2)</f>
        <v>1</v>
      </c>
      <c r="M885" s="46"/>
      <c r="P885" s="16"/>
    </row>
    <row r="886" spans="5:16" hidden="1" x14ac:dyDescent="0.25">
      <c r="E886" s="43">
        <f>COUNTIF($O$7:O886,FORMULARIO!$AA$2)</f>
        <v>1</v>
      </c>
      <c r="M886" s="46"/>
      <c r="P886" s="16"/>
    </row>
    <row r="887" spans="5:16" hidden="1" x14ac:dyDescent="0.25">
      <c r="E887" s="43">
        <f>COUNTIF($O$7:O887,FORMULARIO!$AA$2)</f>
        <v>1</v>
      </c>
      <c r="M887" s="46"/>
      <c r="P887" s="16"/>
    </row>
    <row r="888" spans="5:16" hidden="1" x14ac:dyDescent="0.25">
      <c r="E888" s="43">
        <f>COUNTIF($O$7:O888,FORMULARIO!$AA$2)</f>
        <v>1</v>
      </c>
      <c r="M888" s="46"/>
      <c r="P888" s="16"/>
    </row>
    <row r="889" spans="5:16" hidden="1" x14ac:dyDescent="0.25">
      <c r="E889" s="43">
        <f>COUNTIF($O$7:O889,FORMULARIO!$AA$2)</f>
        <v>1</v>
      </c>
      <c r="M889" s="46"/>
      <c r="P889" s="16"/>
    </row>
    <row r="890" spans="5:16" hidden="1" x14ac:dyDescent="0.25">
      <c r="E890" s="43">
        <f>COUNTIF($O$7:O890,FORMULARIO!$AA$2)</f>
        <v>1</v>
      </c>
      <c r="M890" s="46"/>
      <c r="P890" s="16"/>
    </row>
    <row r="891" spans="5:16" hidden="1" x14ac:dyDescent="0.25">
      <c r="E891" s="43">
        <f>COUNTIF($O$7:O891,FORMULARIO!$AA$2)</f>
        <v>1</v>
      </c>
      <c r="M891" s="46"/>
      <c r="P891" s="16"/>
    </row>
    <row r="892" spans="5:16" hidden="1" x14ac:dyDescent="0.25">
      <c r="E892" s="43">
        <f>COUNTIF($O$7:O892,FORMULARIO!$AA$2)</f>
        <v>1</v>
      </c>
      <c r="M892" s="46"/>
      <c r="P892" s="16"/>
    </row>
    <row r="893" spans="5:16" hidden="1" x14ac:dyDescent="0.25">
      <c r="E893" s="43">
        <f>COUNTIF($O$7:O893,FORMULARIO!$AA$2)</f>
        <v>1</v>
      </c>
      <c r="M893" s="46"/>
      <c r="P893" s="16"/>
    </row>
    <row r="894" spans="5:16" hidden="1" x14ac:dyDescent="0.25">
      <c r="E894" s="43">
        <f>COUNTIF($O$7:O894,FORMULARIO!$AA$2)</f>
        <v>1</v>
      </c>
      <c r="M894" s="46"/>
      <c r="P894" s="16"/>
    </row>
    <row r="895" spans="5:16" hidden="1" x14ac:dyDescent="0.25">
      <c r="E895" s="43">
        <f>COUNTIF($O$7:O895,FORMULARIO!$AA$2)</f>
        <v>1</v>
      </c>
      <c r="M895" s="46"/>
      <c r="P895" s="16"/>
    </row>
    <row r="896" spans="5:16" hidden="1" x14ac:dyDescent="0.25">
      <c r="E896" s="43">
        <f>COUNTIF($O$7:O896,FORMULARIO!$AA$2)</f>
        <v>1</v>
      </c>
      <c r="M896" s="46"/>
      <c r="P896" s="16"/>
    </row>
    <row r="897" spans="5:16" hidden="1" x14ac:dyDescent="0.25">
      <c r="E897" s="43">
        <f>COUNTIF($O$7:O897,FORMULARIO!$AA$2)</f>
        <v>1</v>
      </c>
      <c r="M897" s="46"/>
      <c r="P897" s="16"/>
    </row>
    <row r="898" spans="5:16" hidden="1" x14ac:dyDescent="0.25">
      <c r="E898" s="43">
        <f>COUNTIF($O$7:O898,FORMULARIO!$AA$2)</f>
        <v>1</v>
      </c>
      <c r="M898" s="46"/>
      <c r="P898" s="16"/>
    </row>
    <row r="899" spans="5:16" hidden="1" x14ac:dyDescent="0.25">
      <c r="E899" s="43">
        <f>COUNTIF($O$7:O899,FORMULARIO!$AA$2)</f>
        <v>1</v>
      </c>
      <c r="M899" s="46"/>
      <c r="P899" s="16"/>
    </row>
    <row r="900" spans="5:16" hidden="1" x14ac:dyDescent="0.25">
      <c r="E900" s="43">
        <f>COUNTIF($O$7:O900,FORMULARIO!$AA$2)</f>
        <v>1</v>
      </c>
      <c r="M900" s="46"/>
      <c r="P900" s="16"/>
    </row>
    <row r="901" spans="5:16" hidden="1" x14ac:dyDescent="0.25">
      <c r="E901" s="43">
        <f>COUNTIF($O$7:O901,FORMULARIO!$AA$2)</f>
        <v>1</v>
      </c>
      <c r="M901" s="46"/>
      <c r="P901" s="16"/>
    </row>
    <row r="902" spans="5:16" hidden="1" x14ac:dyDescent="0.25">
      <c r="E902" s="43">
        <f>COUNTIF($O$7:O902,FORMULARIO!$AA$2)</f>
        <v>1</v>
      </c>
      <c r="M902" s="46"/>
      <c r="P902" s="16"/>
    </row>
    <row r="903" spans="5:16" hidden="1" x14ac:dyDescent="0.25">
      <c r="E903" s="43">
        <f>COUNTIF($O$7:O903,FORMULARIO!$AA$2)</f>
        <v>1</v>
      </c>
      <c r="M903" s="46"/>
      <c r="P903" s="16"/>
    </row>
    <row r="904" spans="5:16" hidden="1" x14ac:dyDescent="0.25">
      <c r="E904" s="43">
        <f>COUNTIF($O$7:O904,FORMULARIO!$AA$2)</f>
        <v>1</v>
      </c>
      <c r="M904" s="46"/>
      <c r="P904" s="16"/>
    </row>
    <row r="905" spans="5:16" hidden="1" x14ac:dyDescent="0.25">
      <c r="E905" s="43">
        <f>COUNTIF($O$7:O905,FORMULARIO!$AA$2)</f>
        <v>1</v>
      </c>
      <c r="M905" s="46"/>
      <c r="P905" s="16"/>
    </row>
    <row r="906" spans="5:16" hidden="1" x14ac:dyDescent="0.25">
      <c r="E906" s="43">
        <f>COUNTIF($O$7:O906,FORMULARIO!$AA$2)</f>
        <v>1</v>
      </c>
      <c r="M906" s="46"/>
      <c r="P906" s="16"/>
    </row>
    <row r="907" spans="5:16" hidden="1" x14ac:dyDescent="0.25">
      <c r="E907" s="43">
        <f>COUNTIF($O$7:O907,FORMULARIO!$AA$2)</f>
        <v>1</v>
      </c>
      <c r="M907" s="46"/>
      <c r="P907" s="16"/>
    </row>
    <row r="908" spans="5:16" hidden="1" x14ac:dyDescent="0.25">
      <c r="E908" s="43">
        <f>COUNTIF($O$7:O908,FORMULARIO!$AA$2)</f>
        <v>1</v>
      </c>
      <c r="M908" s="46"/>
      <c r="P908" s="16"/>
    </row>
    <row r="909" spans="5:16" hidden="1" x14ac:dyDescent="0.25">
      <c r="E909" s="43">
        <f>COUNTIF($O$7:O909,FORMULARIO!$AA$2)</f>
        <v>1</v>
      </c>
      <c r="M909" s="46"/>
      <c r="P909" s="16"/>
    </row>
    <row r="910" spans="5:16" hidden="1" x14ac:dyDescent="0.25">
      <c r="E910" s="43">
        <f>COUNTIF($O$7:O910,FORMULARIO!$AA$2)</f>
        <v>1</v>
      </c>
      <c r="M910" s="46"/>
      <c r="P910" s="16"/>
    </row>
    <row r="911" spans="5:16" hidden="1" x14ac:dyDescent="0.25">
      <c r="E911" s="43">
        <f>COUNTIF($O$7:O911,FORMULARIO!$AA$2)</f>
        <v>1</v>
      </c>
      <c r="M911" s="46"/>
      <c r="P911" s="16"/>
    </row>
    <row r="912" spans="5:16" hidden="1" x14ac:dyDescent="0.25">
      <c r="E912" s="43">
        <f>COUNTIF($O$7:O912,FORMULARIO!$AA$2)</f>
        <v>1</v>
      </c>
      <c r="M912" s="46"/>
      <c r="P912" s="16"/>
    </row>
    <row r="913" spans="5:16" hidden="1" x14ac:dyDescent="0.25">
      <c r="E913" s="43">
        <f>COUNTIF($O$7:O913,FORMULARIO!$AA$2)</f>
        <v>1</v>
      </c>
      <c r="M913" s="46"/>
      <c r="P913" s="16"/>
    </row>
    <row r="914" spans="5:16" hidden="1" x14ac:dyDescent="0.25">
      <c r="E914" s="43">
        <f>COUNTIF($O$7:O914,FORMULARIO!$AA$2)</f>
        <v>1</v>
      </c>
      <c r="M914" s="46"/>
      <c r="P914" s="16"/>
    </row>
    <row r="915" spans="5:16" hidden="1" x14ac:dyDescent="0.25">
      <c r="E915" s="43">
        <f>COUNTIF($O$7:O915,FORMULARIO!$AA$2)</f>
        <v>1</v>
      </c>
      <c r="M915" s="46"/>
      <c r="P915" s="16"/>
    </row>
    <row r="916" spans="5:16" hidden="1" x14ac:dyDescent="0.25">
      <c r="E916" s="43">
        <f>COUNTIF($O$7:O916,FORMULARIO!$AA$2)</f>
        <v>1</v>
      </c>
      <c r="M916" s="46"/>
      <c r="P916" s="16"/>
    </row>
    <row r="917" spans="5:16" hidden="1" x14ac:dyDescent="0.25">
      <c r="E917" s="43">
        <f>COUNTIF($O$7:O917,FORMULARIO!$AA$2)</f>
        <v>1</v>
      </c>
      <c r="M917" s="46"/>
      <c r="P917" s="16"/>
    </row>
    <row r="918" spans="5:16" hidden="1" x14ac:dyDescent="0.25">
      <c r="E918" s="43">
        <f>COUNTIF($O$7:O918,FORMULARIO!$AA$2)</f>
        <v>1</v>
      </c>
      <c r="M918" s="46"/>
      <c r="P918" s="16"/>
    </row>
    <row r="919" spans="5:16" hidden="1" x14ac:dyDescent="0.25">
      <c r="E919" s="43">
        <f>COUNTIF($O$7:O919,FORMULARIO!$AA$2)</f>
        <v>1</v>
      </c>
      <c r="M919" s="46"/>
      <c r="P919" s="16"/>
    </row>
    <row r="920" spans="5:16" hidden="1" x14ac:dyDescent="0.25">
      <c r="E920" s="43">
        <f>COUNTIF($O$7:O920,FORMULARIO!$AA$2)</f>
        <v>1</v>
      </c>
      <c r="M920" s="46"/>
      <c r="P920" s="16"/>
    </row>
    <row r="921" spans="5:16" hidden="1" x14ac:dyDescent="0.25">
      <c r="E921" s="43">
        <f>COUNTIF($O$7:O921,FORMULARIO!$AA$2)</f>
        <v>1</v>
      </c>
      <c r="M921" s="46"/>
      <c r="P921" s="16"/>
    </row>
    <row r="922" spans="5:16" hidden="1" x14ac:dyDescent="0.25">
      <c r="E922" s="43">
        <f>COUNTIF($O$7:O922,FORMULARIO!$AA$2)</f>
        <v>1</v>
      </c>
      <c r="M922" s="46"/>
      <c r="P922" s="16"/>
    </row>
    <row r="923" spans="5:16" hidden="1" x14ac:dyDescent="0.25">
      <c r="E923" s="43">
        <f>COUNTIF($O$7:O923,FORMULARIO!$AA$2)</f>
        <v>1</v>
      </c>
      <c r="M923" s="46"/>
      <c r="P923" s="16"/>
    </row>
    <row r="924" spans="5:16" hidden="1" x14ac:dyDescent="0.25">
      <c r="E924" s="43">
        <f>COUNTIF($O$7:O924,FORMULARIO!$AA$2)</f>
        <v>1</v>
      </c>
      <c r="M924" s="46"/>
      <c r="P924" s="16"/>
    </row>
    <row r="925" spans="5:16" hidden="1" x14ac:dyDescent="0.25">
      <c r="E925" s="43">
        <f>COUNTIF($O$7:O925,FORMULARIO!$AA$2)</f>
        <v>1</v>
      </c>
      <c r="M925" s="46"/>
      <c r="P925" s="16"/>
    </row>
    <row r="926" spans="5:16" hidden="1" x14ac:dyDescent="0.25">
      <c r="E926" s="43">
        <f>COUNTIF($O$7:O926,FORMULARIO!$AA$2)</f>
        <v>1</v>
      </c>
      <c r="M926" s="46"/>
      <c r="P926" s="16"/>
    </row>
    <row r="927" spans="5:16" hidden="1" x14ac:dyDescent="0.25">
      <c r="E927" s="43">
        <f>COUNTIF($O$7:O927,FORMULARIO!$AA$2)</f>
        <v>1</v>
      </c>
      <c r="M927" s="46"/>
      <c r="P927" s="16"/>
    </row>
    <row r="928" spans="5:16" hidden="1" x14ac:dyDescent="0.25">
      <c r="E928" s="43">
        <f>COUNTIF($O$7:O928,FORMULARIO!$AA$2)</f>
        <v>1</v>
      </c>
      <c r="M928" s="46"/>
      <c r="P928" s="16"/>
    </row>
    <row r="929" spans="5:16" hidden="1" x14ac:dyDescent="0.25">
      <c r="E929" s="43">
        <f>COUNTIF($O$7:O929,FORMULARIO!$AA$2)</f>
        <v>1</v>
      </c>
      <c r="M929" s="46"/>
      <c r="P929" s="16"/>
    </row>
    <row r="930" spans="5:16" hidden="1" x14ac:dyDescent="0.25">
      <c r="E930" s="43">
        <f>COUNTIF($O$7:O930,FORMULARIO!$AA$2)</f>
        <v>1</v>
      </c>
      <c r="M930" s="46"/>
      <c r="P930" s="16"/>
    </row>
    <row r="931" spans="5:16" hidden="1" x14ac:dyDescent="0.25">
      <c r="E931" s="43">
        <f>COUNTIF($O$7:O931,FORMULARIO!$AA$2)</f>
        <v>1</v>
      </c>
      <c r="M931" s="46"/>
      <c r="P931" s="16"/>
    </row>
    <row r="932" spans="5:16" hidden="1" x14ac:dyDescent="0.25">
      <c r="E932" s="43">
        <f>COUNTIF($O$7:O932,FORMULARIO!$AA$2)</f>
        <v>1</v>
      </c>
      <c r="M932" s="46"/>
      <c r="P932" s="16"/>
    </row>
    <row r="933" spans="5:16" hidden="1" x14ac:dyDescent="0.25">
      <c r="E933" s="43">
        <f>COUNTIF($O$7:O933,FORMULARIO!$AA$2)</f>
        <v>1</v>
      </c>
      <c r="M933" s="46"/>
      <c r="P933" s="16"/>
    </row>
    <row r="934" spans="5:16" hidden="1" x14ac:dyDescent="0.25">
      <c r="E934" s="43">
        <f>COUNTIF($O$7:O934,FORMULARIO!$AA$2)</f>
        <v>1</v>
      </c>
      <c r="M934" s="46"/>
      <c r="P934" s="16"/>
    </row>
    <row r="935" spans="5:16" hidden="1" x14ac:dyDescent="0.25">
      <c r="E935" s="43">
        <f>COUNTIF($O$7:O935,FORMULARIO!$AA$2)</f>
        <v>1</v>
      </c>
      <c r="M935" s="46"/>
      <c r="P935" s="16"/>
    </row>
    <row r="936" spans="5:16" hidden="1" x14ac:dyDescent="0.25">
      <c r="E936" s="43">
        <f>COUNTIF($O$7:O936,FORMULARIO!$AA$2)</f>
        <v>1</v>
      </c>
      <c r="M936" s="46"/>
      <c r="P936" s="16"/>
    </row>
    <row r="937" spans="5:16" hidden="1" x14ac:dyDescent="0.25">
      <c r="E937" s="43">
        <f>COUNTIF($O$7:O937,FORMULARIO!$AA$2)</f>
        <v>1</v>
      </c>
      <c r="M937" s="46"/>
      <c r="P937" s="16"/>
    </row>
    <row r="938" spans="5:16" hidden="1" x14ac:dyDescent="0.25">
      <c r="E938" s="43">
        <f>COUNTIF($O$7:O938,FORMULARIO!$AA$2)</f>
        <v>1</v>
      </c>
      <c r="M938" s="46"/>
      <c r="P938" s="16"/>
    </row>
    <row r="939" spans="5:16" hidden="1" x14ac:dyDescent="0.25">
      <c r="E939" s="43">
        <f>COUNTIF($O$7:O939,FORMULARIO!$AA$2)</f>
        <v>1</v>
      </c>
      <c r="M939" s="46"/>
      <c r="P939" s="16"/>
    </row>
    <row r="940" spans="5:16" hidden="1" x14ac:dyDescent="0.25">
      <c r="E940" s="43">
        <f>COUNTIF($O$7:O940,FORMULARIO!$AA$2)</f>
        <v>1</v>
      </c>
      <c r="M940" s="46"/>
      <c r="P940" s="16"/>
    </row>
    <row r="941" spans="5:16" hidden="1" x14ac:dyDescent="0.25">
      <c r="E941" s="43">
        <f>COUNTIF($O$7:O941,FORMULARIO!$AA$2)</f>
        <v>1</v>
      </c>
      <c r="M941" s="46"/>
      <c r="P941" s="16"/>
    </row>
    <row r="942" spans="5:16" hidden="1" x14ac:dyDescent="0.25">
      <c r="E942" s="43">
        <f>COUNTIF($O$7:O942,FORMULARIO!$AA$2)</f>
        <v>1</v>
      </c>
      <c r="M942" s="46"/>
      <c r="P942" s="16"/>
    </row>
    <row r="943" spans="5:16" hidden="1" x14ac:dyDescent="0.25">
      <c r="E943" s="43">
        <f>COUNTIF($O$7:O943,FORMULARIO!$AA$2)</f>
        <v>1</v>
      </c>
      <c r="M943" s="46"/>
      <c r="P943" s="16"/>
    </row>
    <row r="944" spans="5:16" hidden="1" x14ac:dyDescent="0.25">
      <c r="E944" s="43">
        <f>COUNTIF($O$7:O944,FORMULARIO!$AA$2)</f>
        <v>1</v>
      </c>
      <c r="M944" s="46"/>
      <c r="P944" s="16"/>
    </row>
    <row r="945" spans="5:16" hidden="1" x14ac:dyDescent="0.25">
      <c r="E945" s="43">
        <f>COUNTIF($O$7:O945,FORMULARIO!$AA$2)</f>
        <v>1</v>
      </c>
      <c r="M945" s="46"/>
      <c r="P945" s="16"/>
    </row>
    <row r="946" spans="5:16" hidden="1" x14ac:dyDescent="0.25">
      <c r="E946" s="43">
        <f>COUNTIF($O$7:O946,FORMULARIO!$AA$2)</f>
        <v>1</v>
      </c>
      <c r="M946" s="46"/>
      <c r="P946" s="16"/>
    </row>
    <row r="947" spans="5:16" hidden="1" x14ac:dyDescent="0.25">
      <c r="E947" s="43">
        <f>COUNTIF($O$7:O947,FORMULARIO!$AA$2)</f>
        <v>1</v>
      </c>
      <c r="M947" s="46"/>
      <c r="P947" s="16"/>
    </row>
    <row r="948" spans="5:16" hidden="1" x14ac:dyDescent="0.25">
      <c r="E948" s="43">
        <f>COUNTIF($O$7:O948,FORMULARIO!$AA$2)</f>
        <v>1</v>
      </c>
      <c r="M948" s="46"/>
      <c r="P948" s="16"/>
    </row>
    <row r="949" spans="5:16" hidden="1" x14ac:dyDescent="0.25">
      <c r="E949" s="43">
        <f>COUNTIF($O$7:O949,FORMULARIO!$AA$2)</f>
        <v>1</v>
      </c>
      <c r="M949" s="46"/>
      <c r="P949" s="16"/>
    </row>
    <row r="950" spans="5:16" hidden="1" x14ac:dyDescent="0.25">
      <c r="E950" s="43">
        <f>COUNTIF($O$7:O950,FORMULARIO!$AA$2)</f>
        <v>1</v>
      </c>
      <c r="M950" s="46"/>
      <c r="P950" s="16"/>
    </row>
    <row r="951" spans="5:16" hidden="1" x14ac:dyDescent="0.25">
      <c r="E951" s="43">
        <f>COUNTIF($O$7:O951,FORMULARIO!$AA$2)</f>
        <v>1</v>
      </c>
      <c r="M951" s="46"/>
      <c r="P951" s="16"/>
    </row>
    <row r="952" spans="5:16" hidden="1" x14ac:dyDescent="0.25">
      <c r="E952" s="43">
        <f>COUNTIF($O$7:O952,FORMULARIO!$AA$2)</f>
        <v>1</v>
      </c>
      <c r="M952" s="46"/>
      <c r="P952" s="16"/>
    </row>
    <row r="953" spans="5:16" hidden="1" x14ac:dyDescent="0.25">
      <c r="E953" s="43">
        <f>COUNTIF($O$7:O953,FORMULARIO!$AA$2)</f>
        <v>1</v>
      </c>
      <c r="M953" s="46"/>
      <c r="P953" s="16"/>
    </row>
    <row r="954" spans="5:16" hidden="1" x14ac:dyDescent="0.25">
      <c r="E954" s="43">
        <f>COUNTIF($O$7:O954,FORMULARIO!$AA$2)</f>
        <v>1</v>
      </c>
      <c r="M954" s="46"/>
      <c r="P954" s="16"/>
    </row>
    <row r="955" spans="5:16" hidden="1" x14ac:dyDescent="0.25">
      <c r="E955" s="43">
        <f>COUNTIF($O$7:O955,FORMULARIO!$AA$2)</f>
        <v>1</v>
      </c>
      <c r="M955" s="46"/>
      <c r="P955" s="16"/>
    </row>
    <row r="956" spans="5:16" hidden="1" x14ac:dyDescent="0.25">
      <c r="E956" s="43">
        <f>COUNTIF($O$7:O956,FORMULARIO!$AA$2)</f>
        <v>1</v>
      </c>
      <c r="M956" s="46"/>
      <c r="P956" s="16"/>
    </row>
    <row r="957" spans="5:16" hidden="1" x14ac:dyDescent="0.25">
      <c r="E957" s="43">
        <f>COUNTIF($O$7:O957,FORMULARIO!$AA$2)</f>
        <v>1</v>
      </c>
      <c r="M957" s="46"/>
      <c r="P957" s="16"/>
    </row>
    <row r="958" spans="5:16" hidden="1" x14ac:dyDescent="0.25">
      <c r="E958" s="43">
        <f>COUNTIF($O$7:O958,FORMULARIO!$AA$2)</f>
        <v>1</v>
      </c>
      <c r="M958" s="46"/>
      <c r="P958" s="16"/>
    </row>
    <row r="959" spans="5:16" hidden="1" x14ac:dyDescent="0.25">
      <c r="E959" s="43">
        <f>COUNTIF($O$7:O959,FORMULARIO!$AA$2)</f>
        <v>1</v>
      </c>
      <c r="M959" s="46"/>
      <c r="P959" s="16"/>
    </row>
    <row r="960" spans="5:16" hidden="1" x14ac:dyDescent="0.25">
      <c r="E960" s="43">
        <f>COUNTIF($O$7:O960,FORMULARIO!$AA$2)</f>
        <v>1</v>
      </c>
      <c r="M960" s="46"/>
      <c r="P960" s="16"/>
    </row>
    <row r="961" spans="5:16" hidden="1" x14ac:dyDescent="0.25">
      <c r="E961" s="43">
        <f>COUNTIF($O$7:O961,FORMULARIO!$AA$2)</f>
        <v>1</v>
      </c>
      <c r="M961" s="46"/>
      <c r="P961" s="16"/>
    </row>
    <row r="962" spans="5:16" hidden="1" x14ac:dyDescent="0.25">
      <c r="E962" s="43">
        <f>COUNTIF($O$7:O962,FORMULARIO!$AA$2)</f>
        <v>1</v>
      </c>
      <c r="M962" s="46"/>
      <c r="P962" s="16"/>
    </row>
    <row r="963" spans="5:16" hidden="1" x14ac:dyDescent="0.25">
      <c r="E963" s="43">
        <f>COUNTIF($O$7:O963,FORMULARIO!$AA$2)</f>
        <v>1</v>
      </c>
      <c r="M963" s="46"/>
      <c r="P963" s="16"/>
    </row>
    <row r="964" spans="5:16" hidden="1" x14ac:dyDescent="0.25">
      <c r="E964" s="43">
        <f>COUNTIF($O$7:O964,FORMULARIO!$AA$2)</f>
        <v>1</v>
      </c>
      <c r="M964" s="46"/>
      <c r="P964" s="16"/>
    </row>
    <row r="965" spans="5:16" hidden="1" x14ac:dyDescent="0.25">
      <c r="E965" s="43">
        <f>COUNTIF($O$7:O965,FORMULARIO!$AA$2)</f>
        <v>1</v>
      </c>
      <c r="M965" s="46"/>
      <c r="P965" s="16"/>
    </row>
    <row r="966" spans="5:16" hidden="1" x14ac:dyDescent="0.25">
      <c r="E966" s="43">
        <f>COUNTIF($O$7:O966,FORMULARIO!$AA$2)</f>
        <v>1</v>
      </c>
      <c r="M966" s="46"/>
      <c r="P966" s="16"/>
    </row>
    <row r="967" spans="5:16" hidden="1" x14ac:dyDescent="0.25">
      <c r="E967" s="43">
        <f>COUNTIF($O$7:O967,FORMULARIO!$AA$2)</f>
        <v>1</v>
      </c>
      <c r="M967" s="46"/>
      <c r="P967" s="16"/>
    </row>
    <row r="968" spans="5:16" hidden="1" x14ac:dyDescent="0.25">
      <c r="E968" s="43">
        <f>COUNTIF($O$7:O968,FORMULARIO!$AA$2)</f>
        <v>1</v>
      </c>
      <c r="M968" s="46"/>
      <c r="P968" s="16"/>
    </row>
    <row r="969" spans="5:16" hidden="1" x14ac:dyDescent="0.25">
      <c r="E969" s="43">
        <f>COUNTIF($O$7:O969,FORMULARIO!$AA$2)</f>
        <v>1</v>
      </c>
      <c r="M969" s="46"/>
      <c r="P969" s="16"/>
    </row>
    <row r="970" spans="5:16" hidden="1" x14ac:dyDescent="0.25">
      <c r="E970" s="43">
        <f>COUNTIF($O$7:O970,FORMULARIO!$AA$2)</f>
        <v>1</v>
      </c>
      <c r="M970" s="46"/>
      <c r="P970" s="16"/>
    </row>
    <row r="971" spans="5:16" hidden="1" x14ac:dyDescent="0.25">
      <c r="E971" s="43">
        <f>COUNTIF($O$7:O971,FORMULARIO!$AA$2)</f>
        <v>1</v>
      </c>
      <c r="M971" s="46"/>
      <c r="P971" s="16"/>
    </row>
    <row r="972" spans="5:16" hidden="1" x14ac:dyDescent="0.25">
      <c r="E972" s="43">
        <f>COUNTIF($O$7:O972,FORMULARIO!$AA$2)</f>
        <v>1</v>
      </c>
      <c r="M972" s="46"/>
      <c r="P972" s="16"/>
    </row>
    <row r="973" spans="5:16" hidden="1" x14ac:dyDescent="0.25">
      <c r="E973" s="43">
        <f>COUNTIF($O$7:O973,FORMULARIO!$AA$2)</f>
        <v>1</v>
      </c>
      <c r="M973" s="46"/>
      <c r="P973" s="16"/>
    </row>
    <row r="974" spans="5:16" hidden="1" x14ac:dyDescent="0.25">
      <c r="E974" s="43">
        <f>COUNTIF($O$7:O974,FORMULARIO!$AA$2)</f>
        <v>1</v>
      </c>
      <c r="M974" s="46"/>
      <c r="P974" s="16"/>
    </row>
    <row r="975" spans="5:16" hidden="1" x14ac:dyDescent="0.25">
      <c r="E975" s="43">
        <f>COUNTIF($O$7:O975,FORMULARIO!$AA$2)</f>
        <v>1</v>
      </c>
      <c r="M975" s="46"/>
      <c r="P975" s="16"/>
    </row>
    <row r="976" spans="5:16" hidden="1" x14ac:dyDescent="0.25">
      <c r="E976" s="43">
        <f>COUNTIF($O$7:O976,FORMULARIO!$AA$2)</f>
        <v>1</v>
      </c>
      <c r="M976" s="46"/>
      <c r="P976" s="16"/>
    </row>
    <row r="977" spans="5:16" hidden="1" x14ac:dyDescent="0.25">
      <c r="E977" s="43">
        <f>COUNTIF($O$7:O977,FORMULARIO!$AA$2)</f>
        <v>1</v>
      </c>
      <c r="M977" s="46"/>
      <c r="P977" s="16"/>
    </row>
    <row r="978" spans="5:16" hidden="1" x14ac:dyDescent="0.25">
      <c r="E978" s="43">
        <f>COUNTIF($O$7:O978,FORMULARIO!$AA$2)</f>
        <v>1</v>
      </c>
      <c r="M978" s="46"/>
      <c r="P978" s="16"/>
    </row>
    <row r="979" spans="5:16" hidden="1" x14ac:dyDescent="0.25">
      <c r="E979" s="43">
        <f>COUNTIF($O$7:O979,FORMULARIO!$AA$2)</f>
        <v>1</v>
      </c>
      <c r="M979" s="46"/>
      <c r="P979" s="16"/>
    </row>
    <row r="980" spans="5:16" hidden="1" x14ac:dyDescent="0.25">
      <c r="E980" s="43">
        <f>COUNTIF($O$7:O980,FORMULARIO!$AA$2)</f>
        <v>1</v>
      </c>
      <c r="M980" s="46"/>
      <c r="P980" s="16"/>
    </row>
    <row r="981" spans="5:16" hidden="1" x14ac:dyDescent="0.25">
      <c r="E981" s="43">
        <f>COUNTIF($O$7:O981,FORMULARIO!$AA$2)</f>
        <v>1</v>
      </c>
      <c r="M981" s="46"/>
      <c r="P981" s="16"/>
    </row>
    <row r="982" spans="5:16" hidden="1" x14ac:dyDescent="0.25">
      <c r="E982" s="43">
        <f>COUNTIF($O$7:O982,FORMULARIO!$AA$2)</f>
        <v>1</v>
      </c>
      <c r="M982" s="46"/>
      <c r="P982" s="16"/>
    </row>
    <row r="983" spans="5:16" hidden="1" x14ac:dyDescent="0.25">
      <c r="E983" s="43">
        <f>COUNTIF($O$7:O983,FORMULARIO!$AA$2)</f>
        <v>1</v>
      </c>
      <c r="M983" s="46"/>
      <c r="P983" s="16"/>
    </row>
    <row r="984" spans="5:16" hidden="1" x14ac:dyDescent="0.25">
      <c r="E984" s="43">
        <f>COUNTIF($O$7:O984,FORMULARIO!$AA$2)</f>
        <v>1</v>
      </c>
      <c r="M984" s="46"/>
      <c r="P984" s="16"/>
    </row>
    <row r="985" spans="5:16" hidden="1" x14ac:dyDescent="0.25">
      <c r="E985" s="43">
        <f>COUNTIF($O$7:O985,FORMULARIO!$AA$2)</f>
        <v>1</v>
      </c>
      <c r="M985" s="46"/>
      <c r="P985" s="16"/>
    </row>
    <row r="986" spans="5:16" hidden="1" x14ac:dyDescent="0.25">
      <c r="E986" s="43">
        <f>COUNTIF($O$7:O986,FORMULARIO!$AA$2)</f>
        <v>1</v>
      </c>
      <c r="M986" s="46"/>
      <c r="P986" s="16"/>
    </row>
    <row r="987" spans="5:16" hidden="1" x14ac:dyDescent="0.25">
      <c r="E987" s="43">
        <f>COUNTIF($O$7:O987,FORMULARIO!$AA$2)</f>
        <v>1</v>
      </c>
      <c r="M987" s="46"/>
      <c r="P987" s="16"/>
    </row>
    <row r="988" spans="5:16" hidden="1" x14ac:dyDescent="0.25">
      <c r="E988" s="43">
        <f>COUNTIF($O$7:O988,FORMULARIO!$AA$2)</f>
        <v>1</v>
      </c>
      <c r="M988" s="46"/>
      <c r="P988" s="16"/>
    </row>
    <row r="989" spans="5:16" hidden="1" x14ac:dyDescent="0.25">
      <c r="E989" s="43">
        <f>COUNTIF($O$7:O989,FORMULARIO!$AA$2)</f>
        <v>1</v>
      </c>
      <c r="M989" s="46"/>
      <c r="P989" s="16"/>
    </row>
    <row r="990" spans="5:16" hidden="1" x14ac:dyDescent="0.25">
      <c r="E990" s="43">
        <f>COUNTIF($O$7:O990,FORMULARIO!$AA$2)</f>
        <v>1</v>
      </c>
      <c r="M990" s="46"/>
      <c r="P990" s="16"/>
    </row>
    <row r="991" spans="5:16" hidden="1" x14ac:dyDescent="0.25">
      <c r="E991" s="43">
        <f>COUNTIF($O$7:O991,FORMULARIO!$AA$2)</f>
        <v>1</v>
      </c>
      <c r="M991" s="46"/>
      <c r="P991" s="16"/>
    </row>
    <row r="992" spans="5:16" hidden="1" x14ac:dyDescent="0.25">
      <c r="E992" s="43">
        <f>COUNTIF($O$7:O992,FORMULARIO!$AA$2)</f>
        <v>1</v>
      </c>
      <c r="M992" s="46"/>
      <c r="P992" s="16"/>
    </row>
    <row r="993" spans="5:16" hidden="1" x14ac:dyDescent="0.25">
      <c r="E993" s="43">
        <f>COUNTIF($O$7:O993,FORMULARIO!$AA$2)</f>
        <v>1</v>
      </c>
      <c r="M993" s="46"/>
      <c r="P993" s="16"/>
    </row>
    <row r="994" spans="5:16" hidden="1" x14ac:dyDescent="0.25">
      <c r="E994" s="43">
        <f>COUNTIF($O$7:O994,FORMULARIO!$AA$2)</f>
        <v>1</v>
      </c>
      <c r="M994" s="46"/>
      <c r="P994" s="16"/>
    </row>
    <row r="995" spans="5:16" hidden="1" x14ac:dyDescent="0.25">
      <c r="E995" s="43">
        <f>COUNTIF($O$7:O995,FORMULARIO!$AA$2)</f>
        <v>1</v>
      </c>
      <c r="M995" s="46"/>
      <c r="P995" s="16"/>
    </row>
    <row r="996" spans="5:16" hidden="1" x14ac:dyDescent="0.25">
      <c r="E996" s="43">
        <f>COUNTIF($O$7:O996,FORMULARIO!$AA$2)</f>
        <v>1</v>
      </c>
      <c r="M996" s="46"/>
      <c r="P996" s="16"/>
    </row>
    <row r="997" spans="5:16" hidden="1" x14ac:dyDescent="0.25">
      <c r="E997" s="43">
        <f>COUNTIF($O$7:O997,FORMULARIO!$AA$2)</f>
        <v>1</v>
      </c>
      <c r="M997" s="46"/>
      <c r="P997" s="16"/>
    </row>
    <row r="998" spans="5:16" hidden="1" x14ac:dyDescent="0.25">
      <c r="E998" s="43">
        <f>COUNTIF($O$7:O998,FORMULARIO!$AA$2)</f>
        <v>1</v>
      </c>
      <c r="M998" s="46"/>
      <c r="P998" s="16"/>
    </row>
    <row r="999" spans="5:16" hidden="1" x14ac:dyDescent="0.25">
      <c r="E999" s="43">
        <f>COUNTIF($O$7:O999,FORMULARIO!$AA$2)</f>
        <v>1</v>
      </c>
      <c r="M999" s="46"/>
      <c r="P999" s="16"/>
    </row>
    <row r="1000" spans="5:16" hidden="1" x14ac:dyDescent="0.25">
      <c r="E1000" s="43">
        <f>COUNTIF($O$7:O1000,FORMULARIO!$AA$2)</f>
        <v>1</v>
      </c>
      <c r="M1000" s="46"/>
      <c r="P1000" s="16"/>
    </row>
    <row r="1001" spans="5:16" hidden="1" x14ac:dyDescent="0.25">
      <c r="E1001" s="43">
        <f>COUNTIF($O$7:O1001,FORMULARIO!$AA$2)</f>
        <v>1</v>
      </c>
      <c r="M1001" s="46"/>
      <c r="P1001" s="16"/>
    </row>
    <row r="1002" spans="5:16" hidden="1" x14ac:dyDescent="0.25">
      <c r="E1002" s="43">
        <f>COUNTIF($O$7:O1002,FORMULARIO!$AA$2)</f>
        <v>1</v>
      </c>
      <c r="M1002" s="46"/>
      <c r="P1002" s="16"/>
    </row>
    <row r="1003" spans="5:16" hidden="1" x14ac:dyDescent="0.25">
      <c r="E1003" s="43">
        <f>COUNTIF($O$7:O1003,FORMULARIO!$AA$2)</f>
        <v>1</v>
      </c>
      <c r="M1003" s="46"/>
      <c r="P1003" s="16"/>
    </row>
    <row r="1004" spans="5:16" hidden="1" x14ac:dyDescent="0.25">
      <c r="E1004" s="43">
        <f>COUNTIF($O$7:O1004,FORMULARIO!$AA$2)</f>
        <v>1</v>
      </c>
      <c r="M1004" s="46"/>
      <c r="P1004" s="16"/>
    </row>
    <row r="1005" spans="5:16" hidden="1" x14ac:dyDescent="0.25">
      <c r="E1005" s="43">
        <f>COUNTIF($O$7:O1005,FORMULARIO!$AA$2)</f>
        <v>1</v>
      </c>
      <c r="M1005" s="46"/>
      <c r="P1005" s="16"/>
    </row>
    <row r="1006" spans="5:16" hidden="1" x14ac:dyDescent="0.25">
      <c r="E1006" s="43">
        <f>COUNTIF($O$7:O1006,FORMULARIO!$AA$2)</f>
        <v>1</v>
      </c>
      <c r="M1006" s="46"/>
      <c r="P1006" s="16"/>
    </row>
    <row r="1007" spans="5:16" hidden="1" x14ac:dyDescent="0.25">
      <c r="E1007" s="43">
        <f>COUNTIF($O$7:O1007,FORMULARIO!$AA$2)</f>
        <v>1</v>
      </c>
      <c r="M1007" s="46"/>
      <c r="P1007" s="16"/>
    </row>
    <row r="1008" spans="5:16" hidden="1" x14ac:dyDescent="0.25">
      <c r="E1008" s="43">
        <f>COUNTIF($O$7:O1008,FORMULARIO!$AA$2)</f>
        <v>1</v>
      </c>
      <c r="M1008" s="46"/>
      <c r="P1008" s="16"/>
    </row>
    <row r="1009" spans="5:16" hidden="1" x14ac:dyDescent="0.25">
      <c r="E1009" s="43">
        <f>COUNTIF($O$7:O1009,FORMULARIO!$AA$2)</f>
        <v>1</v>
      </c>
      <c r="M1009" s="46"/>
      <c r="P1009" s="16"/>
    </row>
    <row r="1010" spans="5:16" hidden="1" x14ac:dyDescent="0.25">
      <c r="E1010" s="43">
        <f>COUNTIF($O$7:O1010,FORMULARIO!$AA$2)</f>
        <v>1</v>
      </c>
      <c r="M1010" s="46"/>
      <c r="P1010" s="16"/>
    </row>
    <row r="1011" spans="5:16" hidden="1" x14ac:dyDescent="0.25">
      <c r="E1011" s="43">
        <f>COUNTIF($O$7:O1011,FORMULARIO!$AA$2)</f>
        <v>1</v>
      </c>
      <c r="M1011" s="46"/>
      <c r="P1011" s="16"/>
    </row>
    <row r="1012" spans="5:16" hidden="1" x14ac:dyDescent="0.25">
      <c r="E1012" s="43">
        <f>COUNTIF($O$7:O1012,FORMULARIO!$AA$2)</f>
        <v>1</v>
      </c>
      <c r="M1012" s="46"/>
      <c r="P1012" s="16"/>
    </row>
    <row r="1013" spans="5:16" hidden="1" x14ac:dyDescent="0.25">
      <c r="E1013" s="43">
        <f>COUNTIF($O$7:O1013,FORMULARIO!$AA$2)</f>
        <v>1</v>
      </c>
      <c r="M1013" s="46"/>
      <c r="P1013" s="16"/>
    </row>
    <row r="1014" spans="5:16" hidden="1" x14ac:dyDescent="0.25">
      <c r="E1014" s="43">
        <f>COUNTIF($O$7:O1014,FORMULARIO!$AA$2)</f>
        <v>1</v>
      </c>
      <c r="M1014" s="46"/>
      <c r="P1014" s="16"/>
    </row>
    <row r="1015" spans="5:16" hidden="1" x14ac:dyDescent="0.25">
      <c r="E1015" s="43">
        <f>COUNTIF($O$7:O1015,FORMULARIO!$AA$2)</f>
        <v>1</v>
      </c>
      <c r="M1015" s="46"/>
      <c r="P1015" s="16"/>
    </row>
    <row r="1016" spans="5:16" hidden="1" x14ac:dyDescent="0.25">
      <c r="E1016" s="43">
        <f>COUNTIF($O$7:O1016,FORMULARIO!$AA$2)</f>
        <v>1</v>
      </c>
      <c r="M1016" s="46"/>
      <c r="P1016" s="16"/>
    </row>
    <row r="1017" spans="5:16" hidden="1" x14ac:dyDescent="0.25">
      <c r="E1017" s="43">
        <f>COUNTIF($O$7:O1017,FORMULARIO!$AA$2)</f>
        <v>1</v>
      </c>
      <c r="M1017" s="46"/>
      <c r="P1017" s="16"/>
    </row>
    <row r="1018" spans="5:16" hidden="1" x14ac:dyDescent="0.25">
      <c r="E1018" s="43">
        <f>COUNTIF($O$7:O1018,FORMULARIO!$AA$2)</f>
        <v>1</v>
      </c>
      <c r="M1018" s="46"/>
      <c r="P1018" s="16"/>
    </row>
    <row r="1019" spans="5:16" hidden="1" x14ac:dyDescent="0.25">
      <c r="E1019" s="43">
        <f>COUNTIF($O$7:O1019,FORMULARIO!$AA$2)</f>
        <v>1</v>
      </c>
      <c r="M1019" s="46"/>
      <c r="P1019" s="16"/>
    </row>
    <row r="1020" spans="5:16" hidden="1" x14ac:dyDescent="0.25">
      <c r="E1020" s="43">
        <f>COUNTIF($O$7:O1020,FORMULARIO!$AA$2)</f>
        <v>1</v>
      </c>
      <c r="M1020" s="46"/>
      <c r="P1020" s="16"/>
    </row>
    <row r="1021" spans="5:16" hidden="1" x14ac:dyDescent="0.25">
      <c r="E1021" s="43">
        <f>COUNTIF($O$7:O1021,FORMULARIO!$AA$2)</f>
        <v>1</v>
      </c>
      <c r="M1021" s="46"/>
      <c r="P1021" s="16"/>
    </row>
    <row r="1022" spans="5:16" hidden="1" x14ac:dyDescent="0.25">
      <c r="E1022" s="43">
        <f>COUNTIF($O$7:O1022,FORMULARIO!$AA$2)</f>
        <v>1</v>
      </c>
      <c r="M1022" s="46"/>
      <c r="P1022" s="16"/>
    </row>
    <row r="1023" spans="5:16" hidden="1" x14ac:dyDescent="0.25">
      <c r="E1023" s="43">
        <f>COUNTIF($O$7:O1023,FORMULARIO!$AA$2)</f>
        <v>1</v>
      </c>
      <c r="M1023" s="46"/>
      <c r="P1023" s="16"/>
    </row>
    <row r="1024" spans="5:16" hidden="1" x14ac:dyDescent="0.25">
      <c r="E1024" s="43">
        <f>COUNTIF($O$7:O1024,FORMULARIO!$AA$2)</f>
        <v>1</v>
      </c>
      <c r="M1024" s="46"/>
      <c r="P1024" s="16"/>
    </row>
    <row r="1025" spans="5:16" hidden="1" x14ac:dyDescent="0.25">
      <c r="E1025" s="43">
        <f>COUNTIF($O$7:O1025,FORMULARIO!$AA$2)</f>
        <v>1</v>
      </c>
      <c r="M1025" s="46"/>
      <c r="P1025" s="16"/>
    </row>
    <row r="1026" spans="5:16" hidden="1" x14ac:dyDescent="0.25">
      <c r="E1026" s="43">
        <f>COUNTIF($O$7:O1026,FORMULARIO!$AA$2)</f>
        <v>1</v>
      </c>
      <c r="M1026" s="46"/>
      <c r="P1026" s="16"/>
    </row>
    <row r="1027" spans="5:16" hidden="1" x14ac:dyDescent="0.25">
      <c r="E1027" s="43">
        <f>COUNTIF($O$7:O1027,FORMULARIO!$AA$2)</f>
        <v>1</v>
      </c>
      <c r="M1027" s="46"/>
      <c r="P1027" s="16"/>
    </row>
    <row r="1028" spans="5:16" hidden="1" x14ac:dyDescent="0.25">
      <c r="E1028" s="43">
        <f>COUNTIF($O$7:O1028,FORMULARIO!$AA$2)</f>
        <v>1</v>
      </c>
      <c r="M1028" s="46"/>
      <c r="P1028" s="16"/>
    </row>
    <row r="1029" spans="5:16" hidden="1" x14ac:dyDescent="0.25">
      <c r="E1029" s="43">
        <f>COUNTIF($O$7:O1029,FORMULARIO!$AA$2)</f>
        <v>1</v>
      </c>
      <c r="M1029" s="46"/>
      <c r="P1029" s="16"/>
    </row>
    <row r="1030" spans="5:16" hidden="1" x14ac:dyDescent="0.25">
      <c r="E1030" s="43">
        <f>COUNTIF($O$7:O1030,FORMULARIO!$AA$2)</f>
        <v>1</v>
      </c>
      <c r="M1030" s="46"/>
      <c r="P1030" s="16"/>
    </row>
    <row r="1031" spans="5:16" hidden="1" x14ac:dyDescent="0.25">
      <c r="E1031" s="43">
        <f>COUNTIF($O$7:O1031,FORMULARIO!$AA$2)</f>
        <v>1</v>
      </c>
      <c r="M1031" s="46"/>
      <c r="P1031" s="16"/>
    </row>
    <row r="1032" spans="5:16" hidden="1" x14ac:dyDescent="0.25">
      <c r="E1032" s="43">
        <f>COUNTIF($O$7:O1032,FORMULARIO!$AA$2)</f>
        <v>1</v>
      </c>
      <c r="M1032" s="46"/>
      <c r="P1032" s="16"/>
    </row>
    <row r="1033" spans="5:16" hidden="1" x14ac:dyDescent="0.25">
      <c r="E1033" s="43">
        <f>COUNTIF($O$7:O1033,FORMULARIO!$AA$2)</f>
        <v>1</v>
      </c>
      <c r="M1033" s="46"/>
      <c r="P1033" s="16"/>
    </row>
    <row r="1034" spans="5:16" hidden="1" x14ac:dyDescent="0.25">
      <c r="E1034" s="43">
        <f>COUNTIF($O$7:O1034,FORMULARIO!$AA$2)</f>
        <v>1</v>
      </c>
      <c r="M1034" s="46"/>
      <c r="P1034" s="16"/>
    </row>
    <row r="1035" spans="5:16" hidden="1" x14ac:dyDescent="0.25">
      <c r="E1035" s="43">
        <f>COUNTIF($O$7:O1035,FORMULARIO!$AA$2)</f>
        <v>1</v>
      </c>
      <c r="M1035" s="46"/>
      <c r="P1035" s="16"/>
    </row>
    <row r="1036" spans="5:16" hidden="1" x14ac:dyDescent="0.25">
      <c r="E1036" s="43">
        <f>COUNTIF($O$7:O1036,FORMULARIO!$AA$2)</f>
        <v>1</v>
      </c>
      <c r="M1036" s="46"/>
      <c r="P1036" s="16"/>
    </row>
    <row r="1037" spans="5:16" hidden="1" x14ac:dyDescent="0.25">
      <c r="E1037" s="43">
        <f>COUNTIF($O$7:O1037,FORMULARIO!$AA$2)</f>
        <v>1</v>
      </c>
      <c r="M1037" s="46"/>
      <c r="P1037" s="16"/>
    </row>
    <row r="1038" spans="5:16" hidden="1" x14ac:dyDescent="0.25">
      <c r="E1038" s="43">
        <f>COUNTIF($O$7:O1038,FORMULARIO!$AA$2)</f>
        <v>1</v>
      </c>
      <c r="M1038" s="46"/>
      <c r="P1038" s="16"/>
    </row>
    <row r="1039" spans="5:16" hidden="1" x14ac:dyDescent="0.25">
      <c r="E1039" s="43">
        <f>COUNTIF($O$7:O1039,FORMULARIO!$AA$2)</f>
        <v>1</v>
      </c>
      <c r="M1039" s="46"/>
      <c r="P1039" s="16"/>
    </row>
    <row r="1040" spans="5:16" hidden="1" x14ac:dyDescent="0.25">
      <c r="E1040" s="43">
        <f>COUNTIF($O$7:O1040,FORMULARIO!$AA$2)</f>
        <v>1</v>
      </c>
      <c r="M1040" s="46"/>
      <c r="P1040" s="16"/>
    </row>
    <row r="1041" spans="5:16" hidden="1" x14ac:dyDescent="0.25">
      <c r="E1041" s="43">
        <f>COUNTIF($O$7:O1041,FORMULARIO!$AA$2)</f>
        <v>1</v>
      </c>
      <c r="M1041" s="46"/>
      <c r="P1041" s="16"/>
    </row>
    <row r="1042" spans="5:16" hidden="1" x14ac:dyDescent="0.25">
      <c r="E1042" s="43">
        <f>COUNTIF($O$7:O1042,FORMULARIO!$AA$2)</f>
        <v>1</v>
      </c>
      <c r="M1042" s="46"/>
      <c r="P1042" s="16"/>
    </row>
    <row r="1043" spans="5:16" hidden="1" x14ac:dyDescent="0.25">
      <c r="E1043" s="43">
        <f>COUNTIF($O$7:O1043,FORMULARIO!$AA$2)</f>
        <v>1</v>
      </c>
      <c r="M1043" s="46"/>
      <c r="P1043" s="16"/>
    </row>
    <row r="1044" spans="5:16" hidden="1" x14ac:dyDescent="0.25">
      <c r="E1044" s="43">
        <f>COUNTIF($O$7:O1044,FORMULARIO!$AA$2)</f>
        <v>1</v>
      </c>
      <c r="M1044" s="46"/>
      <c r="P1044" s="16"/>
    </row>
    <row r="1045" spans="5:16" hidden="1" x14ac:dyDescent="0.25">
      <c r="E1045" s="43">
        <f>COUNTIF($O$7:O1045,FORMULARIO!$AA$2)</f>
        <v>1</v>
      </c>
      <c r="M1045" s="46"/>
      <c r="P1045" s="16"/>
    </row>
    <row r="1046" spans="5:16" hidden="1" x14ac:dyDescent="0.25">
      <c r="E1046" s="43">
        <f>COUNTIF($O$7:O1046,FORMULARIO!$AA$2)</f>
        <v>1</v>
      </c>
      <c r="M1046" s="46"/>
      <c r="P1046" s="16"/>
    </row>
    <row r="1047" spans="5:16" hidden="1" x14ac:dyDescent="0.25">
      <c r="E1047" s="43">
        <f>COUNTIF($O$7:O1047,FORMULARIO!$AA$2)</f>
        <v>1</v>
      </c>
      <c r="M1047" s="46"/>
      <c r="P1047" s="16"/>
    </row>
    <row r="1048" spans="5:16" hidden="1" x14ac:dyDescent="0.25">
      <c r="E1048" s="43">
        <f>COUNTIF($O$7:O1048,FORMULARIO!$AA$2)</f>
        <v>1</v>
      </c>
      <c r="M1048" s="46"/>
      <c r="P1048" s="16"/>
    </row>
    <row r="1049" spans="5:16" hidden="1" x14ac:dyDescent="0.25">
      <c r="E1049" s="43">
        <f>COUNTIF($O$7:O1049,FORMULARIO!$AA$2)</f>
        <v>1</v>
      </c>
      <c r="M1049" s="46"/>
      <c r="P1049" s="16"/>
    </row>
    <row r="1050" spans="5:16" hidden="1" x14ac:dyDescent="0.25">
      <c r="E1050" s="43">
        <f>COUNTIF($O$7:O1050,FORMULARIO!$AA$2)</f>
        <v>1</v>
      </c>
      <c r="M1050" s="46"/>
      <c r="P1050" s="16"/>
    </row>
    <row r="1051" spans="5:16" hidden="1" x14ac:dyDescent="0.25">
      <c r="E1051" s="43">
        <f>COUNTIF($O$7:O1051,FORMULARIO!$AA$2)</f>
        <v>1</v>
      </c>
      <c r="M1051" s="46"/>
      <c r="P1051" s="16"/>
    </row>
    <row r="1052" spans="5:16" hidden="1" x14ac:dyDescent="0.25">
      <c r="E1052" s="43">
        <f>COUNTIF($O$7:O1052,FORMULARIO!$AA$2)</f>
        <v>1</v>
      </c>
      <c r="M1052" s="46"/>
      <c r="P1052" s="16"/>
    </row>
    <row r="1053" spans="5:16" hidden="1" x14ac:dyDescent="0.25">
      <c r="E1053" s="43">
        <f>COUNTIF($O$7:O1053,FORMULARIO!$AA$2)</f>
        <v>1</v>
      </c>
      <c r="M1053" s="46"/>
      <c r="P1053" s="16"/>
    </row>
    <row r="1054" spans="5:16" hidden="1" x14ac:dyDescent="0.25">
      <c r="E1054" s="43">
        <f>COUNTIF($O$7:O1054,FORMULARIO!$AA$2)</f>
        <v>1</v>
      </c>
      <c r="M1054" s="46"/>
      <c r="P1054" s="16"/>
    </row>
    <row r="1055" spans="5:16" hidden="1" x14ac:dyDescent="0.25">
      <c r="E1055" s="43">
        <f>COUNTIF($O$7:O1055,FORMULARIO!$AA$2)</f>
        <v>1</v>
      </c>
      <c r="M1055" s="46"/>
      <c r="P1055" s="16"/>
    </row>
    <row r="1056" spans="5:16" hidden="1" x14ac:dyDescent="0.25">
      <c r="E1056" s="43">
        <f>COUNTIF($O$7:O1056,FORMULARIO!$AA$2)</f>
        <v>1</v>
      </c>
      <c r="M1056" s="46"/>
      <c r="P1056" s="16"/>
    </row>
    <row r="1057" spans="5:16" hidden="1" x14ac:dyDescent="0.25">
      <c r="E1057" s="43">
        <f>COUNTIF($O$7:O1057,FORMULARIO!$AA$2)</f>
        <v>1</v>
      </c>
      <c r="M1057" s="46"/>
      <c r="P1057" s="16"/>
    </row>
    <row r="1058" spans="5:16" hidden="1" x14ac:dyDescent="0.25">
      <c r="E1058" s="43">
        <f>COUNTIF($O$7:O1058,FORMULARIO!$AA$2)</f>
        <v>1</v>
      </c>
      <c r="M1058" s="46"/>
      <c r="P1058" s="16"/>
    </row>
    <row r="1059" spans="5:16" hidden="1" x14ac:dyDescent="0.25">
      <c r="E1059" s="43">
        <f>COUNTIF($O$7:O1059,FORMULARIO!$AA$2)</f>
        <v>1</v>
      </c>
      <c r="M1059" s="46"/>
      <c r="P1059" s="16"/>
    </row>
    <row r="1060" spans="5:16" hidden="1" x14ac:dyDescent="0.25">
      <c r="E1060" s="43">
        <f>COUNTIF($O$7:O1060,FORMULARIO!$AA$2)</f>
        <v>1</v>
      </c>
      <c r="M1060" s="46"/>
      <c r="P1060" s="16"/>
    </row>
    <row r="1061" spans="5:16" hidden="1" x14ac:dyDescent="0.25">
      <c r="E1061" s="43">
        <f>COUNTIF($O$7:O1061,FORMULARIO!$AA$2)</f>
        <v>1</v>
      </c>
      <c r="M1061" s="46"/>
      <c r="P1061" s="16"/>
    </row>
    <row r="1062" spans="5:16" hidden="1" x14ac:dyDescent="0.25">
      <c r="E1062" s="43">
        <f>COUNTIF($O$7:O1062,FORMULARIO!$AA$2)</f>
        <v>1</v>
      </c>
      <c r="M1062" s="46"/>
      <c r="P1062" s="16"/>
    </row>
    <row r="1063" spans="5:16" hidden="1" x14ac:dyDescent="0.25">
      <c r="E1063" s="43">
        <f>COUNTIF($O$7:O1063,FORMULARIO!$AA$2)</f>
        <v>1</v>
      </c>
      <c r="M1063" s="46"/>
      <c r="P1063" s="16"/>
    </row>
    <row r="1064" spans="5:16" hidden="1" x14ac:dyDescent="0.25">
      <c r="E1064" s="43">
        <f>COUNTIF($O$7:O1064,FORMULARIO!$AA$2)</f>
        <v>1</v>
      </c>
      <c r="M1064" s="46"/>
      <c r="P1064" s="16"/>
    </row>
    <row r="1065" spans="5:16" hidden="1" x14ac:dyDescent="0.25">
      <c r="E1065" s="43">
        <f>COUNTIF($O$7:O1065,FORMULARIO!$AA$2)</f>
        <v>1</v>
      </c>
      <c r="M1065" s="46"/>
      <c r="P1065" s="16"/>
    </row>
    <row r="1066" spans="5:16" hidden="1" x14ac:dyDescent="0.25">
      <c r="E1066" s="43">
        <f>COUNTIF($O$7:O1066,FORMULARIO!$AA$2)</f>
        <v>1</v>
      </c>
      <c r="M1066" s="46"/>
      <c r="P1066" s="16"/>
    </row>
    <row r="1067" spans="5:16" hidden="1" x14ac:dyDescent="0.25">
      <c r="E1067" s="43">
        <f>COUNTIF($O$7:O1067,FORMULARIO!$AA$2)</f>
        <v>1</v>
      </c>
      <c r="M1067" s="46"/>
      <c r="P1067" s="16"/>
    </row>
    <row r="1068" spans="5:16" hidden="1" x14ac:dyDescent="0.25">
      <c r="E1068" s="43">
        <f>COUNTIF($O$7:O1068,FORMULARIO!$AA$2)</f>
        <v>1</v>
      </c>
      <c r="M1068" s="46"/>
      <c r="P1068" s="16"/>
    </row>
    <row r="1069" spans="5:16" hidden="1" x14ac:dyDescent="0.25">
      <c r="E1069" s="43">
        <f>COUNTIF($O$7:O1069,FORMULARIO!$AA$2)</f>
        <v>1</v>
      </c>
      <c r="M1069" s="46"/>
      <c r="P1069" s="16"/>
    </row>
    <row r="1070" spans="5:16" hidden="1" x14ac:dyDescent="0.25">
      <c r="E1070" s="43">
        <f>COUNTIF($O$7:O1070,FORMULARIO!$AA$2)</f>
        <v>1</v>
      </c>
      <c r="M1070" s="46"/>
      <c r="P1070" s="16"/>
    </row>
    <row r="1071" spans="5:16" hidden="1" x14ac:dyDescent="0.25">
      <c r="E1071" s="43">
        <f>COUNTIF($O$7:O1071,FORMULARIO!$AA$2)</f>
        <v>1</v>
      </c>
      <c r="M1071" s="46"/>
      <c r="P1071" s="16"/>
    </row>
    <row r="1072" spans="5:16" hidden="1" x14ac:dyDescent="0.25">
      <c r="E1072" s="43">
        <f>COUNTIF($O$7:O1072,FORMULARIO!$AA$2)</f>
        <v>1</v>
      </c>
      <c r="M1072" s="46"/>
      <c r="P1072" s="16"/>
    </row>
    <row r="1073" spans="5:16" hidden="1" x14ac:dyDescent="0.25">
      <c r="E1073" s="43">
        <f>COUNTIF($O$7:O1073,FORMULARIO!$AA$2)</f>
        <v>1</v>
      </c>
      <c r="M1073" s="46"/>
      <c r="P1073" s="16"/>
    </row>
    <row r="1074" spans="5:16" hidden="1" x14ac:dyDescent="0.25">
      <c r="E1074" s="43">
        <f>COUNTIF($O$7:O1074,FORMULARIO!$AA$2)</f>
        <v>1</v>
      </c>
      <c r="M1074" s="46"/>
      <c r="P1074" s="16"/>
    </row>
    <row r="1075" spans="5:16" hidden="1" x14ac:dyDescent="0.25">
      <c r="E1075" s="43">
        <f>COUNTIF($O$7:O1075,FORMULARIO!$AA$2)</f>
        <v>1</v>
      </c>
      <c r="M1075" s="46"/>
      <c r="P1075" s="16"/>
    </row>
    <row r="1076" spans="5:16" hidden="1" x14ac:dyDescent="0.25">
      <c r="E1076" s="43">
        <f>COUNTIF($O$7:O1076,FORMULARIO!$AA$2)</f>
        <v>1</v>
      </c>
      <c r="M1076" s="46"/>
      <c r="P1076" s="16"/>
    </row>
    <row r="1077" spans="5:16" hidden="1" x14ac:dyDescent="0.25">
      <c r="E1077" s="43">
        <f>COUNTIF($O$7:O1077,FORMULARIO!$AA$2)</f>
        <v>1</v>
      </c>
      <c r="M1077" s="46"/>
      <c r="P1077" s="16"/>
    </row>
    <row r="1078" spans="5:16" hidden="1" x14ac:dyDescent="0.25">
      <c r="E1078" s="43">
        <f>COUNTIF($O$7:O1078,FORMULARIO!$AA$2)</f>
        <v>1</v>
      </c>
      <c r="M1078" s="46"/>
      <c r="P1078" s="16"/>
    </row>
    <row r="1079" spans="5:16" hidden="1" x14ac:dyDescent="0.25">
      <c r="E1079" s="43">
        <f>COUNTIF($O$7:O1079,FORMULARIO!$AA$2)</f>
        <v>1</v>
      </c>
      <c r="M1079" s="46"/>
      <c r="P1079" s="16"/>
    </row>
    <row r="1080" spans="5:16" hidden="1" x14ac:dyDescent="0.25">
      <c r="E1080" s="43">
        <f>COUNTIF($O$7:O1080,FORMULARIO!$AA$2)</f>
        <v>1</v>
      </c>
      <c r="M1080" s="46"/>
      <c r="P1080" s="16"/>
    </row>
    <row r="1081" spans="5:16" hidden="1" x14ac:dyDescent="0.25">
      <c r="E1081" s="43">
        <f>COUNTIF($O$7:O1081,FORMULARIO!$AA$2)</f>
        <v>1</v>
      </c>
      <c r="M1081" s="46"/>
      <c r="P1081" s="16"/>
    </row>
    <row r="1082" spans="5:16" hidden="1" x14ac:dyDescent="0.25">
      <c r="E1082" s="43">
        <f>COUNTIF($O$7:O1082,FORMULARIO!$AA$2)</f>
        <v>1</v>
      </c>
      <c r="M1082" s="46"/>
      <c r="P1082" s="16"/>
    </row>
    <row r="1083" spans="5:16" hidden="1" x14ac:dyDescent="0.25">
      <c r="E1083" s="43">
        <f>COUNTIF($O$7:O1083,FORMULARIO!$AA$2)</f>
        <v>1</v>
      </c>
      <c r="M1083" s="46"/>
      <c r="P1083" s="16"/>
    </row>
    <row r="1084" spans="5:16" hidden="1" x14ac:dyDescent="0.25">
      <c r="E1084" s="43">
        <f>COUNTIF($O$7:O1084,FORMULARIO!$AA$2)</f>
        <v>1</v>
      </c>
      <c r="M1084" s="46"/>
      <c r="P1084" s="16"/>
    </row>
    <row r="1085" spans="5:16" hidden="1" x14ac:dyDescent="0.25">
      <c r="E1085" s="43">
        <f>COUNTIF($O$7:O1085,FORMULARIO!$AA$2)</f>
        <v>1</v>
      </c>
      <c r="M1085" s="46"/>
      <c r="P1085" s="16"/>
    </row>
    <row r="1086" spans="5:16" hidden="1" x14ac:dyDescent="0.25">
      <c r="E1086" s="43">
        <f>COUNTIF($O$7:O1086,FORMULARIO!$AA$2)</f>
        <v>1</v>
      </c>
      <c r="M1086" s="46"/>
      <c r="P1086" s="16"/>
    </row>
    <row r="1087" spans="5:16" hidden="1" x14ac:dyDescent="0.25">
      <c r="E1087" s="43">
        <f>COUNTIF($O$7:O1087,FORMULARIO!$AA$2)</f>
        <v>1</v>
      </c>
      <c r="M1087" s="46"/>
      <c r="P1087" s="16"/>
    </row>
    <row r="1088" spans="5:16" hidden="1" x14ac:dyDescent="0.25">
      <c r="E1088" s="43">
        <f>COUNTIF($O$7:O1088,FORMULARIO!$AA$2)</f>
        <v>1</v>
      </c>
      <c r="M1088" s="46"/>
      <c r="P1088" s="16"/>
    </row>
    <row r="1089" spans="5:16" hidden="1" x14ac:dyDescent="0.25">
      <c r="E1089" s="43">
        <f>COUNTIF($O$7:O1089,FORMULARIO!$AA$2)</f>
        <v>1</v>
      </c>
      <c r="M1089" s="46"/>
      <c r="P1089" s="16"/>
    </row>
    <row r="1090" spans="5:16" hidden="1" x14ac:dyDescent="0.25">
      <c r="E1090" s="43">
        <f>COUNTIF($O$7:O1090,FORMULARIO!$AA$2)</f>
        <v>1</v>
      </c>
      <c r="M1090" s="46"/>
      <c r="P1090" s="16"/>
    </row>
    <row r="1091" spans="5:16" hidden="1" x14ac:dyDescent="0.25">
      <c r="E1091" s="43">
        <f>COUNTIF($O$7:O1091,FORMULARIO!$AA$2)</f>
        <v>1</v>
      </c>
      <c r="M1091" s="46"/>
      <c r="P1091" s="16"/>
    </row>
    <row r="1092" spans="5:16" hidden="1" x14ac:dyDescent="0.25">
      <c r="E1092" s="43">
        <f>COUNTIF($O$7:O1092,FORMULARIO!$AA$2)</f>
        <v>1</v>
      </c>
      <c r="M1092" s="46"/>
      <c r="P1092" s="16"/>
    </row>
    <row r="1093" spans="5:16" hidden="1" x14ac:dyDescent="0.25">
      <c r="E1093" s="43">
        <f>COUNTIF($O$7:O1093,FORMULARIO!$AA$2)</f>
        <v>1</v>
      </c>
      <c r="M1093" s="46"/>
      <c r="P1093" s="16"/>
    </row>
    <row r="1094" spans="5:16" hidden="1" x14ac:dyDescent="0.25">
      <c r="E1094" s="43">
        <f>COUNTIF($O$7:O1094,FORMULARIO!$AA$2)</f>
        <v>1</v>
      </c>
      <c r="M1094" s="46"/>
      <c r="P1094" s="16"/>
    </row>
    <row r="1095" spans="5:16" hidden="1" x14ac:dyDescent="0.25">
      <c r="E1095" s="43">
        <f>COUNTIF($O$7:O1095,FORMULARIO!$AA$2)</f>
        <v>1</v>
      </c>
      <c r="M1095" s="46"/>
      <c r="P1095" s="16"/>
    </row>
    <row r="1096" spans="5:16" hidden="1" x14ac:dyDescent="0.25">
      <c r="E1096" s="43">
        <f>COUNTIF($O$7:O1096,FORMULARIO!$AA$2)</f>
        <v>1</v>
      </c>
      <c r="M1096" s="46"/>
      <c r="P1096" s="16"/>
    </row>
    <row r="1097" spans="5:16" hidden="1" x14ac:dyDescent="0.25">
      <c r="E1097" s="43">
        <f>COUNTIF($O$7:O1097,FORMULARIO!$AA$2)</f>
        <v>1</v>
      </c>
      <c r="M1097" s="46"/>
      <c r="P1097" s="16"/>
    </row>
    <row r="1098" spans="5:16" hidden="1" x14ac:dyDescent="0.25">
      <c r="E1098" s="43">
        <f>COUNTIF($O$7:O1098,FORMULARIO!$AA$2)</f>
        <v>1</v>
      </c>
      <c r="M1098" s="46"/>
      <c r="P1098" s="16"/>
    </row>
    <row r="1099" spans="5:16" hidden="1" x14ac:dyDescent="0.25">
      <c r="E1099" s="43">
        <f>COUNTIF($O$7:O1099,FORMULARIO!$AA$2)</f>
        <v>1</v>
      </c>
      <c r="M1099" s="46"/>
      <c r="P1099" s="16"/>
    </row>
    <row r="1100" spans="5:16" hidden="1" x14ac:dyDescent="0.25">
      <c r="E1100" s="43">
        <f>COUNTIF($O$7:O1100,FORMULARIO!$AA$2)</f>
        <v>1</v>
      </c>
      <c r="M1100" s="46"/>
      <c r="P1100" s="16"/>
    </row>
    <row r="1101" spans="5:16" hidden="1" x14ac:dyDescent="0.25">
      <c r="E1101" s="43">
        <f>COUNTIF($O$7:O1101,FORMULARIO!$AA$2)</f>
        <v>1</v>
      </c>
      <c r="M1101" s="46"/>
      <c r="P1101" s="16"/>
    </row>
    <row r="1102" spans="5:16" hidden="1" x14ac:dyDescent="0.25">
      <c r="E1102" s="43">
        <f>COUNTIF($O$7:O1102,FORMULARIO!$AA$2)</f>
        <v>1</v>
      </c>
      <c r="M1102" s="46"/>
      <c r="P1102" s="16"/>
    </row>
    <row r="1103" spans="5:16" hidden="1" x14ac:dyDescent="0.25">
      <c r="E1103" s="43">
        <f>COUNTIF($O$7:O1103,FORMULARIO!$AA$2)</f>
        <v>1</v>
      </c>
      <c r="M1103" s="46"/>
      <c r="P1103" s="16"/>
    </row>
    <row r="1104" spans="5:16" hidden="1" x14ac:dyDescent="0.25">
      <c r="E1104" s="43">
        <f>COUNTIF($O$7:O1104,FORMULARIO!$AA$2)</f>
        <v>1</v>
      </c>
      <c r="M1104" s="46"/>
      <c r="P1104" s="16"/>
    </row>
    <row r="1105" spans="5:16" hidden="1" x14ac:dyDescent="0.25">
      <c r="E1105" s="43">
        <f>COUNTIF($O$7:O1105,FORMULARIO!$AA$2)</f>
        <v>1</v>
      </c>
      <c r="M1105" s="46"/>
      <c r="P1105" s="16"/>
    </row>
    <row r="1106" spans="5:16" hidden="1" x14ac:dyDescent="0.25">
      <c r="E1106" s="43">
        <f>COUNTIF($O$7:O1106,FORMULARIO!$AA$2)</f>
        <v>1</v>
      </c>
      <c r="M1106" s="46"/>
      <c r="P1106" s="16"/>
    </row>
    <row r="1107" spans="5:16" hidden="1" x14ac:dyDescent="0.25">
      <c r="E1107" s="43">
        <f>COUNTIF($O$7:O1107,FORMULARIO!$AA$2)</f>
        <v>1</v>
      </c>
      <c r="M1107" s="46"/>
      <c r="P1107" s="16"/>
    </row>
    <row r="1108" spans="5:16" hidden="1" x14ac:dyDescent="0.25">
      <c r="E1108" s="43">
        <f>COUNTIF($O$7:O1108,FORMULARIO!$AA$2)</f>
        <v>1</v>
      </c>
      <c r="M1108" s="46"/>
      <c r="P1108" s="16"/>
    </row>
    <row r="1109" spans="5:16" hidden="1" x14ac:dyDescent="0.25">
      <c r="E1109" s="43">
        <f>COUNTIF($O$7:O1109,FORMULARIO!$AA$2)</f>
        <v>1</v>
      </c>
      <c r="M1109" s="46"/>
      <c r="P1109" s="16"/>
    </row>
    <row r="1110" spans="5:16" hidden="1" x14ac:dyDescent="0.25">
      <c r="E1110" s="43">
        <f>COUNTIF($O$7:O1110,FORMULARIO!$AA$2)</f>
        <v>1</v>
      </c>
      <c r="M1110" s="46"/>
      <c r="P1110" s="16"/>
    </row>
    <row r="1111" spans="5:16" hidden="1" x14ac:dyDescent="0.25">
      <c r="E1111" s="43">
        <f>COUNTIF($O$7:O1111,FORMULARIO!$AA$2)</f>
        <v>1</v>
      </c>
      <c r="M1111" s="46"/>
      <c r="P1111" s="16"/>
    </row>
    <row r="1112" spans="5:16" hidden="1" x14ac:dyDescent="0.25">
      <c r="E1112" s="43">
        <f>COUNTIF($O$7:O1112,FORMULARIO!$AA$2)</f>
        <v>1</v>
      </c>
      <c r="M1112" s="46"/>
      <c r="P1112" s="16"/>
    </row>
    <row r="1113" spans="5:16" hidden="1" x14ac:dyDescent="0.25">
      <c r="E1113" s="43">
        <f>COUNTIF($O$7:O1113,FORMULARIO!$AA$2)</f>
        <v>1</v>
      </c>
      <c r="M1113" s="46"/>
      <c r="P1113" s="16"/>
    </row>
    <row r="1114" spans="5:16" hidden="1" x14ac:dyDescent="0.25">
      <c r="E1114" s="43">
        <f>COUNTIF($O$7:O1114,FORMULARIO!$AA$2)</f>
        <v>1</v>
      </c>
      <c r="M1114" s="46"/>
      <c r="P1114" s="16"/>
    </row>
    <row r="1115" spans="5:16" hidden="1" x14ac:dyDescent="0.25">
      <c r="E1115" s="43">
        <f>COUNTIF($O$7:O1115,FORMULARIO!$AA$2)</f>
        <v>1</v>
      </c>
      <c r="M1115" s="46"/>
      <c r="P1115" s="16"/>
    </row>
    <row r="1116" spans="5:16" hidden="1" x14ac:dyDescent="0.25">
      <c r="E1116" s="43">
        <f>COUNTIF($O$7:O1116,FORMULARIO!$AA$2)</f>
        <v>1</v>
      </c>
      <c r="M1116" s="46"/>
      <c r="P1116" s="16"/>
    </row>
    <row r="1117" spans="5:16" hidden="1" x14ac:dyDescent="0.25">
      <c r="E1117" s="43">
        <f>COUNTIF($O$7:O1117,FORMULARIO!$AA$2)</f>
        <v>1</v>
      </c>
      <c r="M1117" s="46"/>
      <c r="P1117" s="16"/>
    </row>
    <row r="1118" spans="5:16" hidden="1" x14ac:dyDescent="0.25">
      <c r="E1118" s="43">
        <f>COUNTIF($O$7:O1118,FORMULARIO!$AA$2)</f>
        <v>1</v>
      </c>
      <c r="M1118" s="46"/>
      <c r="P1118" s="16"/>
    </row>
    <row r="1119" spans="5:16" hidden="1" x14ac:dyDescent="0.25">
      <c r="E1119" s="43">
        <f>COUNTIF($O$7:O1119,FORMULARIO!$AA$2)</f>
        <v>1</v>
      </c>
      <c r="M1119" s="46"/>
      <c r="P1119" s="16"/>
    </row>
    <row r="1120" spans="5:16" hidden="1" x14ac:dyDescent="0.25">
      <c r="E1120" s="43">
        <f>COUNTIF($O$7:O1120,FORMULARIO!$AA$2)</f>
        <v>1</v>
      </c>
      <c r="M1120" s="46"/>
      <c r="P1120" s="16"/>
    </row>
    <row r="1121" spans="5:16" hidden="1" x14ac:dyDescent="0.25">
      <c r="E1121" s="43">
        <f>COUNTIF($O$7:O1121,FORMULARIO!$AA$2)</f>
        <v>1</v>
      </c>
      <c r="M1121" s="46"/>
      <c r="P1121" s="16"/>
    </row>
    <row r="1122" spans="5:16" hidden="1" x14ac:dyDescent="0.25">
      <c r="E1122" s="43">
        <f>COUNTIF($O$7:O1122,FORMULARIO!$AA$2)</f>
        <v>1</v>
      </c>
      <c r="M1122" s="46"/>
      <c r="P1122" s="16"/>
    </row>
    <row r="1123" spans="5:16" hidden="1" x14ac:dyDescent="0.25">
      <c r="E1123" s="43">
        <f>COUNTIF($O$7:O1123,FORMULARIO!$AA$2)</f>
        <v>1</v>
      </c>
      <c r="M1123" s="46"/>
      <c r="P1123" s="16"/>
    </row>
    <row r="1124" spans="5:16" hidden="1" x14ac:dyDescent="0.25">
      <c r="E1124" s="43">
        <f>COUNTIF($O$7:O1124,FORMULARIO!$AA$2)</f>
        <v>1</v>
      </c>
      <c r="M1124" s="46"/>
      <c r="P1124" s="16"/>
    </row>
    <row r="1125" spans="5:16" hidden="1" x14ac:dyDescent="0.25">
      <c r="E1125" s="43">
        <f>COUNTIF($O$7:O1125,FORMULARIO!$AA$2)</f>
        <v>1</v>
      </c>
      <c r="M1125" s="46"/>
      <c r="P1125" s="16"/>
    </row>
    <row r="1126" spans="5:16" hidden="1" x14ac:dyDescent="0.25">
      <c r="E1126" s="43">
        <f>COUNTIF($O$7:O1126,FORMULARIO!$AA$2)</f>
        <v>1</v>
      </c>
      <c r="M1126" s="46"/>
      <c r="P1126" s="16"/>
    </row>
    <row r="1127" spans="5:16" hidden="1" x14ac:dyDescent="0.25">
      <c r="E1127" s="43">
        <f>COUNTIF($O$7:O1127,FORMULARIO!$AA$2)</f>
        <v>1</v>
      </c>
      <c r="M1127" s="46"/>
      <c r="P1127" s="16"/>
    </row>
    <row r="1128" spans="5:16" hidden="1" x14ac:dyDescent="0.25">
      <c r="E1128" s="43">
        <f>COUNTIF($O$7:O1128,FORMULARIO!$AA$2)</f>
        <v>1</v>
      </c>
      <c r="M1128" s="46"/>
      <c r="P1128" s="16"/>
    </row>
    <row r="1129" spans="5:16" hidden="1" x14ac:dyDescent="0.25">
      <c r="E1129" s="43">
        <f>COUNTIF($O$7:O1129,FORMULARIO!$AA$2)</f>
        <v>1</v>
      </c>
      <c r="M1129" s="46"/>
      <c r="P1129" s="16"/>
    </row>
    <row r="1130" spans="5:16" hidden="1" x14ac:dyDescent="0.25">
      <c r="E1130" s="43">
        <f>COUNTIF($O$7:O1130,FORMULARIO!$AA$2)</f>
        <v>1</v>
      </c>
      <c r="M1130" s="46"/>
      <c r="P1130" s="16"/>
    </row>
    <row r="1131" spans="5:16" hidden="1" x14ac:dyDescent="0.25">
      <c r="E1131" s="43">
        <f>COUNTIF($O$7:O1131,FORMULARIO!$AA$2)</f>
        <v>1</v>
      </c>
      <c r="M1131" s="46"/>
      <c r="P1131" s="16"/>
    </row>
    <row r="1132" spans="5:16" hidden="1" x14ac:dyDescent="0.25">
      <c r="E1132" s="43">
        <f>COUNTIF($O$7:O1132,FORMULARIO!$AA$2)</f>
        <v>1</v>
      </c>
      <c r="M1132" s="46"/>
      <c r="P1132" s="16"/>
    </row>
    <row r="1133" spans="5:16" hidden="1" x14ac:dyDescent="0.25">
      <c r="E1133" s="43">
        <f>COUNTIF($O$7:O1133,FORMULARIO!$AA$2)</f>
        <v>1</v>
      </c>
      <c r="M1133" s="46"/>
      <c r="P1133" s="16"/>
    </row>
    <row r="1134" spans="5:16" hidden="1" x14ac:dyDescent="0.25">
      <c r="E1134" s="43">
        <f>COUNTIF($O$7:O1134,FORMULARIO!$AA$2)</f>
        <v>1</v>
      </c>
      <c r="M1134" s="46"/>
      <c r="P1134" s="16"/>
    </row>
    <row r="1135" spans="5:16" hidden="1" x14ac:dyDescent="0.25">
      <c r="E1135" s="43">
        <f>COUNTIF($O$7:O1135,FORMULARIO!$AA$2)</f>
        <v>1</v>
      </c>
      <c r="M1135" s="46"/>
      <c r="P1135" s="16"/>
    </row>
    <row r="1136" spans="5:16" hidden="1" x14ac:dyDescent="0.25">
      <c r="E1136" s="43">
        <f>COUNTIF($O$7:O1136,FORMULARIO!$AA$2)</f>
        <v>1</v>
      </c>
      <c r="M1136" s="46"/>
      <c r="P1136" s="16"/>
    </row>
    <row r="1137" spans="5:16" hidden="1" x14ac:dyDescent="0.25">
      <c r="E1137" s="43">
        <f>COUNTIF($O$7:O1137,FORMULARIO!$AA$2)</f>
        <v>1</v>
      </c>
      <c r="M1137" s="46"/>
      <c r="P1137" s="16"/>
    </row>
    <row r="1138" spans="5:16" hidden="1" x14ac:dyDescent="0.25">
      <c r="E1138" s="43">
        <f>COUNTIF($O$7:O1138,FORMULARIO!$AA$2)</f>
        <v>1</v>
      </c>
      <c r="M1138" s="46"/>
      <c r="P1138" s="16"/>
    </row>
    <row r="1139" spans="5:16" hidden="1" x14ac:dyDescent="0.25">
      <c r="E1139" s="43">
        <f>COUNTIF($O$7:O1139,FORMULARIO!$AA$2)</f>
        <v>1</v>
      </c>
      <c r="M1139" s="46"/>
      <c r="P1139" s="16"/>
    </row>
    <row r="1140" spans="5:16" hidden="1" x14ac:dyDescent="0.25">
      <c r="E1140" s="43">
        <f>COUNTIF($O$7:O1140,FORMULARIO!$AA$2)</f>
        <v>1</v>
      </c>
      <c r="M1140" s="46"/>
      <c r="P1140" s="16"/>
    </row>
    <row r="1141" spans="5:16" hidden="1" x14ac:dyDescent="0.25">
      <c r="E1141" s="43">
        <f>COUNTIF($O$7:O1141,FORMULARIO!$AA$2)</f>
        <v>1</v>
      </c>
      <c r="M1141" s="46"/>
      <c r="P1141" s="16"/>
    </row>
    <row r="1142" spans="5:16" hidden="1" x14ac:dyDescent="0.25">
      <c r="E1142" s="43">
        <f>COUNTIF($O$7:O1142,FORMULARIO!$AA$2)</f>
        <v>1</v>
      </c>
      <c r="M1142" s="46"/>
      <c r="P1142" s="16"/>
    </row>
    <row r="1143" spans="5:16" hidden="1" x14ac:dyDescent="0.25">
      <c r="E1143" s="43">
        <f>COUNTIF($O$7:O1143,FORMULARIO!$AA$2)</f>
        <v>1</v>
      </c>
      <c r="M1143" s="46"/>
      <c r="P1143" s="16"/>
    </row>
    <row r="1144" spans="5:16" hidden="1" x14ac:dyDescent="0.25">
      <c r="E1144" s="43">
        <f>COUNTIF($O$7:O1144,FORMULARIO!$AA$2)</f>
        <v>1</v>
      </c>
      <c r="M1144" s="46"/>
      <c r="P1144" s="16"/>
    </row>
    <row r="1145" spans="5:16" hidden="1" x14ac:dyDescent="0.25">
      <c r="E1145" s="43">
        <f>COUNTIF($O$7:O1145,FORMULARIO!$AA$2)</f>
        <v>1</v>
      </c>
      <c r="M1145" s="46"/>
      <c r="P1145" s="16"/>
    </row>
    <row r="1146" spans="5:16" hidden="1" x14ac:dyDescent="0.25">
      <c r="E1146" s="43">
        <f>COUNTIF($O$7:O1146,FORMULARIO!$AA$2)</f>
        <v>1</v>
      </c>
      <c r="M1146" s="46"/>
      <c r="P1146" s="16"/>
    </row>
    <row r="1147" spans="5:16" hidden="1" x14ac:dyDescent="0.25">
      <c r="E1147" s="43">
        <f>COUNTIF($O$7:O1147,FORMULARIO!$AA$2)</f>
        <v>1</v>
      </c>
      <c r="M1147" s="46"/>
      <c r="P1147" s="16"/>
    </row>
    <row r="1148" spans="5:16" hidden="1" x14ac:dyDescent="0.25">
      <c r="E1148" s="43">
        <f>COUNTIF($O$7:O1148,FORMULARIO!$AA$2)</f>
        <v>1</v>
      </c>
      <c r="M1148" s="46"/>
      <c r="P1148" s="16"/>
    </row>
    <row r="1149" spans="5:16" hidden="1" x14ac:dyDescent="0.25">
      <c r="E1149" s="43">
        <f>COUNTIF($O$7:O1149,FORMULARIO!$AA$2)</f>
        <v>1</v>
      </c>
      <c r="M1149" s="46"/>
      <c r="P1149" s="16"/>
    </row>
    <row r="1150" spans="5:16" hidden="1" x14ac:dyDescent="0.25">
      <c r="E1150" s="43">
        <f>COUNTIF($O$7:O1150,FORMULARIO!$AA$2)</f>
        <v>1</v>
      </c>
      <c r="M1150" s="46"/>
      <c r="P1150" s="16"/>
    </row>
    <row r="1151" spans="5:16" hidden="1" x14ac:dyDescent="0.25">
      <c r="E1151" s="43">
        <f>COUNTIF($O$7:O1151,FORMULARIO!$AA$2)</f>
        <v>1</v>
      </c>
      <c r="M1151" s="46"/>
      <c r="P1151" s="16"/>
    </row>
    <row r="1152" spans="5:16" hidden="1" x14ac:dyDescent="0.25">
      <c r="E1152" s="43">
        <f>COUNTIF($O$7:O1152,FORMULARIO!$AA$2)</f>
        <v>1</v>
      </c>
      <c r="M1152" s="46"/>
      <c r="P1152" s="16"/>
    </row>
    <row r="1153" spans="5:16" hidden="1" x14ac:dyDescent="0.25">
      <c r="E1153" s="43">
        <f>COUNTIF($O$7:O1153,FORMULARIO!$AA$2)</f>
        <v>1</v>
      </c>
      <c r="M1153" s="46"/>
      <c r="P1153" s="16"/>
    </row>
    <row r="1154" spans="5:16" hidden="1" x14ac:dyDescent="0.25">
      <c r="E1154" s="43">
        <f>COUNTIF($O$7:O1154,FORMULARIO!$AA$2)</f>
        <v>1</v>
      </c>
      <c r="M1154" s="46"/>
      <c r="P1154" s="16"/>
    </row>
    <row r="1155" spans="5:16" hidden="1" x14ac:dyDescent="0.25">
      <c r="E1155" s="43">
        <f>COUNTIF($O$7:O1155,FORMULARIO!$AA$2)</f>
        <v>1</v>
      </c>
      <c r="M1155" s="46"/>
      <c r="P1155" s="16"/>
    </row>
    <row r="1156" spans="5:16" hidden="1" x14ac:dyDescent="0.25">
      <c r="E1156" s="43">
        <f>COUNTIF($O$7:O1156,FORMULARIO!$AA$2)</f>
        <v>1</v>
      </c>
      <c r="M1156" s="46"/>
      <c r="P1156" s="16"/>
    </row>
    <row r="1157" spans="5:16" hidden="1" x14ac:dyDescent="0.25">
      <c r="E1157" s="43">
        <f>COUNTIF($O$7:O1157,FORMULARIO!$AA$2)</f>
        <v>1</v>
      </c>
      <c r="M1157" s="46"/>
      <c r="P1157" s="16"/>
    </row>
    <row r="1158" spans="5:16" hidden="1" x14ac:dyDescent="0.25">
      <c r="E1158" s="43">
        <f>COUNTIF($O$7:O1158,FORMULARIO!$AA$2)</f>
        <v>1</v>
      </c>
      <c r="M1158" s="46"/>
      <c r="P1158" s="16"/>
    </row>
    <row r="1159" spans="5:16" hidden="1" x14ac:dyDescent="0.25">
      <c r="E1159" s="43">
        <f>COUNTIF($O$7:O1159,FORMULARIO!$AA$2)</f>
        <v>1</v>
      </c>
      <c r="M1159" s="46"/>
      <c r="P1159" s="16"/>
    </row>
    <row r="1160" spans="5:16" hidden="1" x14ac:dyDescent="0.25">
      <c r="E1160" s="43">
        <f>COUNTIF($O$7:O1160,FORMULARIO!$AA$2)</f>
        <v>1</v>
      </c>
      <c r="M1160" s="46"/>
      <c r="P1160" s="16"/>
    </row>
    <row r="1161" spans="5:16" hidden="1" x14ac:dyDescent="0.25">
      <c r="E1161" s="43">
        <f>COUNTIF($O$7:O1161,FORMULARIO!$AA$2)</f>
        <v>1</v>
      </c>
      <c r="M1161" s="46"/>
      <c r="P1161" s="16"/>
    </row>
    <row r="1162" spans="5:16" hidden="1" x14ac:dyDescent="0.25">
      <c r="E1162" s="43">
        <f>COUNTIF($O$7:O1162,FORMULARIO!$AA$2)</f>
        <v>1</v>
      </c>
      <c r="M1162" s="46"/>
      <c r="P1162" s="16"/>
    </row>
    <row r="1163" spans="5:16" hidden="1" x14ac:dyDescent="0.25">
      <c r="E1163" s="43">
        <f>COUNTIF($O$7:O1163,FORMULARIO!$AA$2)</f>
        <v>1</v>
      </c>
      <c r="M1163" s="46"/>
      <c r="P1163" s="16"/>
    </row>
    <row r="1164" spans="5:16" hidden="1" x14ac:dyDescent="0.25">
      <c r="E1164" s="43">
        <f>COUNTIF($O$7:O1164,FORMULARIO!$AA$2)</f>
        <v>1</v>
      </c>
      <c r="M1164" s="46"/>
      <c r="P1164" s="16"/>
    </row>
    <row r="1165" spans="5:16" hidden="1" x14ac:dyDescent="0.25">
      <c r="E1165" s="43">
        <f>COUNTIF($O$7:O1165,FORMULARIO!$AA$2)</f>
        <v>1</v>
      </c>
      <c r="M1165" s="46"/>
      <c r="P1165" s="16"/>
    </row>
    <row r="1166" spans="5:16" hidden="1" x14ac:dyDescent="0.25">
      <c r="E1166" s="43">
        <f>COUNTIF($O$7:O1166,FORMULARIO!$AA$2)</f>
        <v>1</v>
      </c>
      <c r="M1166" s="46"/>
      <c r="P1166" s="16"/>
    </row>
    <row r="1167" spans="5:16" hidden="1" x14ac:dyDescent="0.25">
      <c r="E1167" s="43">
        <f>COUNTIF($O$7:O1167,FORMULARIO!$AA$2)</f>
        <v>1</v>
      </c>
      <c r="M1167" s="46"/>
      <c r="P1167" s="16"/>
    </row>
    <row r="1168" spans="5:16" hidden="1" x14ac:dyDescent="0.25">
      <c r="E1168" s="43">
        <f>COUNTIF($O$7:O1168,FORMULARIO!$AA$2)</f>
        <v>1</v>
      </c>
      <c r="M1168" s="46"/>
      <c r="P1168" s="16"/>
    </row>
    <row r="1169" spans="5:16" hidden="1" x14ac:dyDescent="0.25">
      <c r="E1169" s="43">
        <f>COUNTIF($O$7:O1169,FORMULARIO!$AA$2)</f>
        <v>1</v>
      </c>
      <c r="M1169" s="46"/>
      <c r="P1169" s="16"/>
    </row>
    <row r="1170" spans="5:16" hidden="1" x14ac:dyDescent="0.25">
      <c r="E1170" s="43">
        <f>COUNTIF($O$7:O1170,FORMULARIO!$AA$2)</f>
        <v>1</v>
      </c>
      <c r="M1170" s="46"/>
      <c r="P1170" s="16"/>
    </row>
    <row r="1171" spans="5:16" hidden="1" x14ac:dyDescent="0.25">
      <c r="E1171" s="43">
        <f>COUNTIF($O$7:O1171,FORMULARIO!$AA$2)</f>
        <v>1</v>
      </c>
      <c r="M1171" s="46"/>
      <c r="P1171" s="16"/>
    </row>
    <row r="1172" spans="5:16" hidden="1" x14ac:dyDescent="0.25">
      <c r="E1172" s="43">
        <f>COUNTIF($O$7:O1172,FORMULARIO!$AA$2)</f>
        <v>1</v>
      </c>
      <c r="M1172" s="46"/>
      <c r="P1172" s="16"/>
    </row>
    <row r="1173" spans="5:16" hidden="1" x14ac:dyDescent="0.25">
      <c r="E1173" s="43">
        <f>COUNTIF($O$7:O1173,FORMULARIO!$AA$2)</f>
        <v>1</v>
      </c>
      <c r="M1173" s="46"/>
      <c r="P1173" s="16"/>
    </row>
    <row r="1174" spans="5:16" hidden="1" x14ac:dyDescent="0.25">
      <c r="E1174" s="43">
        <f>COUNTIF($O$7:O1174,FORMULARIO!$AA$2)</f>
        <v>1</v>
      </c>
      <c r="M1174" s="46"/>
      <c r="P1174" s="16"/>
    </row>
    <row r="1175" spans="5:16" hidden="1" x14ac:dyDescent="0.25">
      <c r="E1175" s="43">
        <f>COUNTIF($O$7:O1175,FORMULARIO!$AA$2)</f>
        <v>1</v>
      </c>
      <c r="M1175" s="46"/>
      <c r="P1175" s="16"/>
    </row>
    <row r="1176" spans="5:16" hidden="1" x14ac:dyDescent="0.25">
      <c r="E1176" s="43">
        <f>COUNTIF($O$7:O1176,FORMULARIO!$AA$2)</f>
        <v>1</v>
      </c>
      <c r="M1176" s="46"/>
      <c r="P1176" s="16"/>
    </row>
    <row r="1177" spans="5:16" hidden="1" x14ac:dyDescent="0.25">
      <c r="E1177" s="43">
        <f>COUNTIF($O$7:O1177,FORMULARIO!$AA$2)</f>
        <v>1</v>
      </c>
      <c r="M1177" s="46"/>
      <c r="P1177" s="16"/>
    </row>
    <row r="1178" spans="5:16" hidden="1" x14ac:dyDescent="0.25">
      <c r="E1178" s="43">
        <f>COUNTIF($O$7:O1178,FORMULARIO!$AA$2)</f>
        <v>1</v>
      </c>
      <c r="M1178" s="46"/>
      <c r="P1178" s="16"/>
    </row>
    <row r="1179" spans="5:16" hidden="1" x14ac:dyDescent="0.25">
      <c r="E1179" s="43">
        <f>COUNTIF($O$7:O1179,FORMULARIO!$AA$2)</f>
        <v>1</v>
      </c>
      <c r="M1179" s="46"/>
      <c r="P1179" s="16"/>
    </row>
    <row r="1180" spans="5:16" hidden="1" x14ac:dyDescent="0.25">
      <c r="E1180" s="43">
        <f>COUNTIF($O$7:O1180,FORMULARIO!$AA$2)</f>
        <v>1</v>
      </c>
      <c r="M1180" s="46"/>
      <c r="P1180" s="16"/>
    </row>
    <row r="1181" spans="5:16" hidden="1" x14ac:dyDescent="0.25">
      <c r="E1181" s="43">
        <f>COUNTIF($O$7:O1181,FORMULARIO!$AA$2)</f>
        <v>1</v>
      </c>
      <c r="M1181" s="46"/>
      <c r="P1181" s="16"/>
    </row>
    <row r="1182" spans="5:16" hidden="1" x14ac:dyDescent="0.25">
      <c r="E1182" s="43">
        <f>COUNTIF($O$7:O1182,FORMULARIO!$AA$2)</f>
        <v>1</v>
      </c>
      <c r="M1182" s="46"/>
      <c r="P1182" s="16"/>
    </row>
    <row r="1183" spans="5:16" hidden="1" x14ac:dyDescent="0.25">
      <c r="E1183" s="43">
        <f>COUNTIF($O$7:O1183,FORMULARIO!$AA$2)</f>
        <v>1</v>
      </c>
      <c r="M1183" s="46"/>
      <c r="P1183" s="16"/>
    </row>
    <row r="1184" spans="5:16" hidden="1" x14ac:dyDescent="0.25">
      <c r="E1184" s="43">
        <f>COUNTIF($O$7:O1184,FORMULARIO!$AA$2)</f>
        <v>1</v>
      </c>
      <c r="M1184" s="46"/>
      <c r="P1184" s="16"/>
    </row>
    <row r="1185" spans="5:16" hidden="1" x14ac:dyDescent="0.25">
      <c r="E1185" s="43">
        <f>COUNTIF($O$7:O1185,FORMULARIO!$AA$2)</f>
        <v>1</v>
      </c>
      <c r="M1185" s="46"/>
      <c r="P1185" s="16"/>
    </row>
    <row r="1186" spans="5:16" hidden="1" x14ac:dyDescent="0.25">
      <c r="E1186" s="43">
        <f>COUNTIF($O$7:O1186,FORMULARIO!$AA$2)</f>
        <v>1</v>
      </c>
      <c r="M1186" s="46"/>
      <c r="P1186" s="16"/>
    </row>
    <row r="1187" spans="5:16" hidden="1" x14ac:dyDescent="0.25">
      <c r="E1187" s="43">
        <f>COUNTIF($O$7:O1187,FORMULARIO!$AA$2)</f>
        <v>1</v>
      </c>
      <c r="M1187" s="46"/>
      <c r="P1187" s="16"/>
    </row>
    <row r="1188" spans="5:16" hidden="1" x14ac:dyDescent="0.25">
      <c r="E1188" s="43">
        <f>COUNTIF($O$7:O1188,FORMULARIO!$AA$2)</f>
        <v>1</v>
      </c>
      <c r="M1188" s="46"/>
      <c r="P1188" s="16"/>
    </row>
    <row r="1189" spans="5:16" hidden="1" x14ac:dyDescent="0.25">
      <c r="E1189" s="43">
        <f>COUNTIF($O$7:O1189,FORMULARIO!$AA$2)</f>
        <v>1</v>
      </c>
      <c r="M1189" s="46"/>
      <c r="P1189" s="16"/>
    </row>
    <row r="1190" spans="5:16" hidden="1" x14ac:dyDescent="0.25">
      <c r="E1190" s="43">
        <f>COUNTIF($O$7:O1190,FORMULARIO!$AA$2)</f>
        <v>1</v>
      </c>
      <c r="M1190" s="46"/>
      <c r="P1190" s="16"/>
    </row>
    <row r="1191" spans="5:16" hidden="1" x14ac:dyDescent="0.25">
      <c r="E1191" s="43">
        <f>COUNTIF($O$7:O1191,FORMULARIO!$AA$2)</f>
        <v>1</v>
      </c>
      <c r="M1191" s="46"/>
      <c r="P1191" s="16"/>
    </row>
    <row r="1192" spans="5:16" hidden="1" x14ac:dyDescent="0.25">
      <c r="E1192" s="43">
        <f>COUNTIF($O$7:O1192,FORMULARIO!$AA$2)</f>
        <v>1</v>
      </c>
      <c r="M1192" s="46"/>
      <c r="P1192" s="16"/>
    </row>
    <row r="1193" spans="5:16" hidden="1" x14ac:dyDescent="0.25">
      <c r="E1193" s="43">
        <f>COUNTIF($O$7:O1193,FORMULARIO!$AA$2)</f>
        <v>1</v>
      </c>
      <c r="M1193" s="46"/>
      <c r="P1193" s="16"/>
    </row>
    <row r="1194" spans="5:16" hidden="1" x14ac:dyDescent="0.25">
      <c r="E1194" s="43">
        <f>COUNTIF($O$7:O1194,FORMULARIO!$AA$2)</f>
        <v>1</v>
      </c>
      <c r="M1194" s="46"/>
      <c r="P1194" s="16"/>
    </row>
    <row r="1195" spans="5:16" hidden="1" x14ac:dyDescent="0.25">
      <c r="E1195" s="43">
        <f>COUNTIF($O$7:O1195,FORMULARIO!$AA$2)</f>
        <v>1</v>
      </c>
      <c r="M1195" s="46"/>
      <c r="P1195" s="16"/>
    </row>
    <row r="1196" spans="5:16" hidden="1" x14ac:dyDescent="0.25">
      <c r="E1196" s="43">
        <f>COUNTIF($O$7:O1196,FORMULARIO!$AA$2)</f>
        <v>1</v>
      </c>
      <c r="M1196" s="46"/>
      <c r="P1196" s="16"/>
    </row>
    <row r="1197" spans="5:16" hidden="1" x14ac:dyDescent="0.25">
      <c r="E1197" s="43">
        <f>COUNTIF($O$7:O1197,FORMULARIO!$AA$2)</f>
        <v>1</v>
      </c>
      <c r="M1197" s="46"/>
      <c r="P1197" s="16"/>
    </row>
    <row r="1198" spans="5:16" hidden="1" x14ac:dyDescent="0.25">
      <c r="E1198" s="43">
        <f>COUNTIF($O$7:O1198,FORMULARIO!$AA$2)</f>
        <v>1</v>
      </c>
      <c r="M1198" s="46"/>
      <c r="P1198" s="16"/>
    </row>
    <row r="1199" spans="5:16" hidden="1" x14ac:dyDescent="0.25">
      <c r="E1199" s="43">
        <f>COUNTIF($O$7:O1199,FORMULARIO!$AA$2)</f>
        <v>1</v>
      </c>
      <c r="M1199" s="46"/>
      <c r="P1199" s="16"/>
    </row>
    <row r="1200" spans="5:16" hidden="1" x14ac:dyDescent="0.25">
      <c r="E1200" s="43">
        <f>COUNTIF($O$7:O1200,FORMULARIO!$AA$2)</f>
        <v>1</v>
      </c>
      <c r="M1200" s="46"/>
      <c r="P1200" s="16"/>
    </row>
    <row r="1201" spans="5:16" hidden="1" x14ac:dyDescent="0.25">
      <c r="E1201" s="43">
        <f>COUNTIF($O$7:O1201,FORMULARIO!$AA$2)</f>
        <v>1</v>
      </c>
      <c r="M1201" s="46"/>
      <c r="P1201" s="16"/>
    </row>
    <row r="1202" spans="5:16" hidden="1" x14ac:dyDescent="0.25">
      <c r="E1202" s="43">
        <f>COUNTIF($O$7:O1202,FORMULARIO!$AA$2)</f>
        <v>1</v>
      </c>
      <c r="M1202" s="46"/>
      <c r="P1202" s="16"/>
    </row>
    <row r="1203" spans="5:16" hidden="1" x14ac:dyDescent="0.25">
      <c r="E1203" s="43">
        <f>COUNTIF($O$7:O1203,FORMULARIO!$AA$2)</f>
        <v>1</v>
      </c>
      <c r="M1203" s="46"/>
      <c r="P1203" s="16"/>
    </row>
    <row r="1204" spans="5:16" hidden="1" x14ac:dyDescent="0.25">
      <c r="E1204" s="43">
        <f>COUNTIF($O$7:O1204,FORMULARIO!$AA$2)</f>
        <v>1</v>
      </c>
      <c r="M1204" s="46"/>
      <c r="P1204" s="16"/>
    </row>
    <row r="1205" spans="5:16" hidden="1" x14ac:dyDescent="0.25">
      <c r="E1205" s="43">
        <f>COUNTIF($O$7:O1205,FORMULARIO!$AA$2)</f>
        <v>1</v>
      </c>
      <c r="M1205" s="46"/>
      <c r="P1205" s="16"/>
    </row>
    <row r="1206" spans="5:16" hidden="1" x14ac:dyDescent="0.25">
      <c r="E1206" s="43">
        <f>COUNTIF($O$7:O1206,FORMULARIO!$AA$2)</f>
        <v>1</v>
      </c>
      <c r="M1206" s="46"/>
      <c r="P1206" s="16"/>
    </row>
    <row r="1207" spans="5:16" hidden="1" x14ac:dyDescent="0.25">
      <c r="E1207" s="43">
        <f>COUNTIF($O$7:O1207,FORMULARIO!$AA$2)</f>
        <v>1</v>
      </c>
      <c r="M1207" s="46"/>
      <c r="P1207" s="16"/>
    </row>
    <row r="1208" spans="5:16" hidden="1" x14ac:dyDescent="0.25">
      <c r="E1208" s="43">
        <f>COUNTIF($O$7:O1208,FORMULARIO!$AA$2)</f>
        <v>1</v>
      </c>
      <c r="M1208" s="46"/>
      <c r="P1208" s="16"/>
    </row>
    <row r="1209" spans="5:16" hidden="1" x14ac:dyDescent="0.25">
      <c r="E1209" s="43">
        <f>COUNTIF($O$7:O1209,FORMULARIO!$AA$2)</f>
        <v>1</v>
      </c>
      <c r="M1209" s="46"/>
      <c r="P1209" s="16"/>
    </row>
    <row r="1210" spans="5:16" hidden="1" x14ac:dyDescent="0.25">
      <c r="E1210" s="43">
        <f>COUNTIF($O$7:O1210,FORMULARIO!$AA$2)</f>
        <v>1</v>
      </c>
      <c r="M1210" s="46"/>
      <c r="P1210" s="16"/>
    </row>
    <row r="1211" spans="5:16" hidden="1" x14ac:dyDescent="0.25">
      <c r="E1211" s="43">
        <f>COUNTIF($O$7:O1211,FORMULARIO!$AA$2)</f>
        <v>1</v>
      </c>
      <c r="M1211" s="46"/>
      <c r="P1211" s="16"/>
    </row>
    <row r="1212" spans="5:16" hidden="1" x14ac:dyDescent="0.25">
      <c r="E1212" s="43">
        <f>COUNTIF($O$7:O1212,FORMULARIO!$AA$2)</f>
        <v>1</v>
      </c>
      <c r="M1212" s="46"/>
      <c r="P1212" s="16"/>
    </row>
    <row r="1213" spans="5:16" hidden="1" x14ac:dyDescent="0.25">
      <c r="E1213" s="43">
        <f>COUNTIF($O$7:O1213,FORMULARIO!$AA$2)</f>
        <v>1</v>
      </c>
      <c r="M1213" s="46"/>
      <c r="P1213" s="16"/>
    </row>
    <row r="1214" spans="5:16" hidden="1" x14ac:dyDescent="0.25">
      <c r="E1214" s="43">
        <f>COUNTIF($O$7:O1214,FORMULARIO!$AA$2)</f>
        <v>1</v>
      </c>
      <c r="M1214" s="46"/>
      <c r="P1214" s="16"/>
    </row>
    <row r="1215" spans="5:16" hidden="1" x14ac:dyDescent="0.25">
      <c r="E1215" s="43">
        <f>COUNTIF($O$7:O1215,FORMULARIO!$AA$2)</f>
        <v>1</v>
      </c>
      <c r="M1215" s="46"/>
      <c r="P1215" s="16"/>
    </row>
    <row r="1216" spans="5:16" hidden="1" x14ac:dyDescent="0.25">
      <c r="E1216" s="43">
        <f>COUNTIF($O$7:O1216,FORMULARIO!$AA$2)</f>
        <v>1</v>
      </c>
      <c r="M1216" s="46"/>
      <c r="P1216" s="16"/>
    </row>
    <row r="1217" spans="5:16" hidden="1" x14ac:dyDescent="0.25">
      <c r="E1217" s="43">
        <f>COUNTIF($O$7:O1217,FORMULARIO!$AA$2)</f>
        <v>1</v>
      </c>
      <c r="M1217" s="46"/>
      <c r="P1217" s="16"/>
    </row>
    <row r="1218" spans="5:16" hidden="1" x14ac:dyDescent="0.25">
      <c r="E1218" s="43">
        <f>COUNTIF($O$7:O1218,FORMULARIO!$AA$2)</f>
        <v>1</v>
      </c>
      <c r="M1218" s="46"/>
      <c r="P1218" s="16"/>
    </row>
    <row r="1219" spans="5:16" hidden="1" x14ac:dyDescent="0.25">
      <c r="E1219" s="43">
        <f>COUNTIF($O$7:O1219,FORMULARIO!$AA$2)</f>
        <v>1</v>
      </c>
      <c r="M1219" s="46"/>
      <c r="P1219" s="16"/>
    </row>
    <row r="1220" spans="5:16" hidden="1" x14ac:dyDescent="0.25">
      <c r="E1220" s="43">
        <f>COUNTIF($O$7:O1220,FORMULARIO!$AA$2)</f>
        <v>1</v>
      </c>
      <c r="M1220" s="46"/>
      <c r="P1220" s="16"/>
    </row>
    <row r="1221" spans="5:16" hidden="1" x14ac:dyDescent="0.25">
      <c r="E1221" s="43">
        <f>COUNTIF($O$7:O1221,FORMULARIO!$AA$2)</f>
        <v>1</v>
      </c>
      <c r="M1221" s="46"/>
      <c r="P1221" s="16"/>
    </row>
    <row r="1222" spans="5:16" hidden="1" x14ac:dyDescent="0.25">
      <c r="E1222" s="43">
        <f>COUNTIF($O$7:O1222,FORMULARIO!$AA$2)</f>
        <v>1</v>
      </c>
      <c r="M1222" s="46"/>
      <c r="P1222" s="16"/>
    </row>
    <row r="1223" spans="5:16" hidden="1" x14ac:dyDescent="0.25">
      <c r="E1223" s="43">
        <f>COUNTIF($O$7:O1223,FORMULARIO!$AA$2)</f>
        <v>1</v>
      </c>
      <c r="M1223" s="46"/>
      <c r="P1223" s="16"/>
    </row>
    <row r="1224" spans="5:16" hidden="1" x14ac:dyDescent="0.25">
      <c r="E1224" s="43">
        <f>COUNTIF($O$7:O1224,FORMULARIO!$AA$2)</f>
        <v>1</v>
      </c>
      <c r="M1224" s="46"/>
      <c r="P1224" s="16"/>
    </row>
    <row r="1225" spans="5:16" hidden="1" x14ac:dyDescent="0.25">
      <c r="E1225" s="43">
        <f>COUNTIF($O$7:O1225,FORMULARIO!$AA$2)</f>
        <v>1</v>
      </c>
      <c r="M1225" s="46"/>
      <c r="P1225" s="16"/>
    </row>
    <row r="1226" spans="5:16" hidden="1" x14ac:dyDescent="0.25">
      <c r="E1226" s="43">
        <f>COUNTIF($O$7:O1226,FORMULARIO!$AA$2)</f>
        <v>1</v>
      </c>
      <c r="M1226" s="46"/>
      <c r="P1226" s="16"/>
    </row>
    <row r="1227" spans="5:16" hidden="1" x14ac:dyDescent="0.25">
      <c r="E1227" s="43">
        <f>COUNTIF($O$7:O1227,FORMULARIO!$AA$2)</f>
        <v>1</v>
      </c>
      <c r="M1227" s="46"/>
      <c r="P1227" s="16"/>
    </row>
    <row r="1228" spans="5:16" hidden="1" x14ac:dyDescent="0.25">
      <c r="E1228" s="43">
        <f>COUNTIF($O$7:O1228,FORMULARIO!$AA$2)</f>
        <v>1</v>
      </c>
      <c r="M1228" s="46"/>
      <c r="P1228" s="16"/>
    </row>
    <row r="1229" spans="5:16" hidden="1" x14ac:dyDescent="0.25">
      <c r="E1229" s="43">
        <f>COUNTIF($O$7:O1229,FORMULARIO!$AA$2)</f>
        <v>1</v>
      </c>
      <c r="M1229" s="46"/>
      <c r="P1229" s="16"/>
    </row>
    <row r="1230" spans="5:16" hidden="1" x14ac:dyDescent="0.25">
      <c r="E1230" s="43">
        <f>COUNTIF($O$7:O1230,FORMULARIO!$AA$2)</f>
        <v>1</v>
      </c>
      <c r="M1230" s="46"/>
      <c r="P1230" s="16"/>
    </row>
    <row r="1231" spans="5:16" hidden="1" x14ac:dyDescent="0.25">
      <c r="E1231" s="43">
        <f>COUNTIF($O$7:O1231,FORMULARIO!$AA$2)</f>
        <v>1</v>
      </c>
      <c r="M1231" s="46"/>
      <c r="P1231" s="16"/>
    </row>
    <row r="1232" spans="5:16" hidden="1" x14ac:dyDescent="0.25">
      <c r="E1232" s="43">
        <f>COUNTIF($O$7:O1232,FORMULARIO!$AA$2)</f>
        <v>1</v>
      </c>
      <c r="M1232" s="46"/>
      <c r="P1232" s="16"/>
    </row>
    <row r="1233" spans="5:16" hidden="1" x14ac:dyDescent="0.25">
      <c r="E1233" s="43">
        <f>COUNTIF($O$7:O1233,FORMULARIO!$AA$2)</f>
        <v>1</v>
      </c>
      <c r="M1233" s="46"/>
      <c r="P1233" s="16"/>
    </row>
    <row r="1234" spans="5:16" hidden="1" x14ac:dyDescent="0.25">
      <c r="E1234" s="43">
        <f>COUNTIF($O$7:O1234,FORMULARIO!$AA$2)</f>
        <v>1</v>
      </c>
      <c r="M1234" s="46"/>
      <c r="P1234" s="16"/>
    </row>
    <row r="1235" spans="5:16" hidden="1" x14ac:dyDescent="0.25">
      <c r="E1235" s="43">
        <f>COUNTIF($O$7:O1235,FORMULARIO!$AA$2)</f>
        <v>1</v>
      </c>
      <c r="M1235" s="46"/>
      <c r="P1235" s="16"/>
    </row>
    <row r="1236" spans="5:16" hidden="1" x14ac:dyDescent="0.25">
      <c r="E1236" s="43">
        <f>COUNTIF($O$7:O1236,FORMULARIO!$AA$2)</f>
        <v>1</v>
      </c>
      <c r="M1236" s="46"/>
      <c r="P1236" s="16"/>
    </row>
    <row r="1237" spans="5:16" hidden="1" x14ac:dyDescent="0.25">
      <c r="E1237" s="43">
        <f>COUNTIF($O$7:O1237,FORMULARIO!$AA$2)</f>
        <v>1</v>
      </c>
      <c r="M1237" s="46"/>
      <c r="P1237" s="16"/>
    </row>
    <row r="1238" spans="5:16" hidden="1" x14ac:dyDescent="0.25">
      <c r="E1238" s="43">
        <f>COUNTIF($O$7:O1238,FORMULARIO!$AA$2)</f>
        <v>1</v>
      </c>
      <c r="M1238" s="46"/>
      <c r="P1238" s="16"/>
    </row>
    <row r="1239" spans="5:16" hidden="1" x14ac:dyDescent="0.25">
      <c r="E1239" s="43">
        <f>COUNTIF($O$7:O1239,FORMULARIO!$AA$2)</f>
        <v>1</v>
      </c>
      <c r="M1239" s="46"/>
      <c r="P1239" s="16"/>
    </row>
    <row r="1240" spans="5:16" hidden="1" x14ac:dyDescent="0.25">
      <c r="E1240" s="43">
        <f>COUNTIF($O$7:O1240,FORMULARIO!$AA$2)</f>
        <v>1</v>
      </c>
      <c r="M1240" s="46"/>
      <c r="P1240" s="16"/>
    </row>
    <row r="1241" spans="5:16" hidden="1" x14ac:dyDescent="0.25">
      <c r="E1241" s="43">
        <f>COUNTIF($O$7:O1241,FORMULARIO!$AA$2)</f>
        <v>1</v>
      </c>
      <c r="M1241" s="46"/>
      <c r="P1241" s="16"/>
    </row>
    <row r="1242" spans="5:16" hidden="1" x14ac:dyDescent="0.25">
      <c r="E1242" s="43">
        <f>COUNTIF($O$7:O1242,FORMULARIO!$AA$2)</f>
        <v>1</v>
      </c>
      <c r="M1242" s="46"/>
      <c r="P1242" s="16"/>
    </row>
    <row r="1243" spans="5:16" hidden="1" x14ac:dyDescent="0.25">
      <c r="E1243" s="43">
        <f>COUNTIF($O$7:O1243,FORMULARIO!$AA$2)</f>
        <v>1</v>
      </c>
      <c r="M1243" s="46"/>
      <c r="P1243" s="16"/>
    </row>
    <row r="1244" spans="5:16" hidden="1" x14ac:dyDescent="0.25">
      <c r="E1244" s="43">
        <f>COUNTIF($O$7:O1244,FORMULARIO!$AA$2)</f>
        <v>1</v>
      </c>
      <c r="M1244" s="46"/>
      <c r="P1244" s="16"/>
    </row>
    <row r="1245" spans="5:16" hidden="1" x14ac:dyDescent="0.25">
      <c r="E1245" s="43">
        <f>COUNTIF($O$7:O1245,FORMULARIO!$AA$2)</f>
        <v>1</v>
      </c>
      <c r="M1245" s="46"/>
      <c r="P1245" s="16"/>
    </row>
    <row r="1246" spans="5:16" hidden="1" x14ac:dyDescent="0.25">
      <c r="E1246" s="43">
        <f>COUNTIF($O$7:O1246,FORMULARIO!$AA$2)</f>
        <v>1</v>
      </c>
      <c r="M1246" s="46"/>
      <c r="P1246" s="16"/>
    </row>
    <row r="1247" spans="5:16" hidden="1" x14ac:dyDescent="0.25">
      <c r="E1247" s="43">
        <f>COUNTIF($O$7:O1247,FORMULARIO!$AA$2)</f>
        <v>1</v>
      </c>
      <c r="M1247" s="46"/>
      <c r="P1247" s="16"/>
    </row>
    <row r="1248" spans="5:16" hidden="1" x14ac:dyDescent="0.25">
      <c r="E1248" s="43">
        <f>COUNTIF($O$7:O1248,FORMULARIO!$AA$2)</f>
        <v>1</v>
      </c>
      <c r="M1248" s="46"/>
      <c r="P1248" s="16"/>
    </row>
    <row r="1249" spans="5:16" hidden="1" x14ac:dyDescent="0.25">
      <c r="E1249" s="43">
        <f>COUNTIF($O$7:O1249,FORMULARIO!$AA$2)</f>
        <v>1</v>
      </c>
      <c r="M1249" s="46"/>
      <c r="P1249" s="16"/>
    </row>
    <row r="1250" spans="5:16" hidden="1" x14ac:dyDescent="0.25">
      <c r="E1250" s="43">
        <f>COUNTIF($O$7:O1250,FORMULARIO!$AA$2)</f>
        <v>1</v>
      </c>
      <c r="M1250" s="46"/>
      <c r="P1250" s="16"/>
    </row>
    <row r="1251" spans="5:16" hidden="1" x14ac:dyDescent="0.25">
      <c r="E1251" s="43">
        <f>COUNTIF($O$7:O1251,FORMULARIO!$AA$2)</f>
        <v>1</v>
      </c>
      <c r="M1251" s="46"/>
      <c r="P1251" s="16"/>
    </row>
    <row r="1252" spans="5:16" hidden="1" x14ac:dyDescent="0.25">
      <c r="E1252" s="43">
        <f>COUNTIF($O$7:O1252,FORMULARIO!$AA$2)</f>
        <v>1</v>
      </c>
      <c r="M1252" s="46"/>
      <c r="P1252" s="16"/>
    </row>
    <row r="1253" spans="5:16" hidden="1" x14ac:dyDescent="0.25">
      <c r="E1253" s="43">
        <f>COUNTIF($O$7:O1253,FORMULARIO!$AA$2)</f>
        <v>1</v>
      </c>
      <c r="M1253" s="46"/>
      <c r="P1253" s="16"/>
    </row>
    <row r="1254" spans="5:16" hidden="1" x14ac:dyDescent="0.25">
      <c r="E1254" s="43">
        <f>COUNTIF($O$7:O1254,FORMULARIO!$AA$2)</f>
        <v>1</v>
      </c>
      <c r="M1254" s="46"/>
      <c r="P1254" s="16"/>
    </row>
    <row r="1255" spans="5:16" hidden="1" x14ac:dyDescent="0.25">
      <c r="E1255" s="43">
        <f>COUNTIF($O$7:O1255,FORMULARIO!$AA$2)</f>
        <v>1</v>
      </c>
      <c r="M1255" s="46"/>
      <c r="P1255" s="16"/>
    </row>
    <row r="1256" spans="5:16" hidden="1" x14ac:dyDescent="0.25">
      <c r="E1256" s="43">
        <f>COUNTIF($O$7:O1256,FORMULARIO!$AA$2)</f>
        <v>1</v>
      </c>
      <c r="M1256" s="46"/>
      <c r="P1256" s="16"/>
    </row>
    <row r="1257" spans="5:16" hidden="1" x14ac:dyDescent="0.25">
      <c r="E1257" s="43">
        <f>COUNTIF($O$7:O1257,FORMULARIO!$AA$2)</f>
        <v>1</v>
      </c>
      <c r="M1257" s="46"/>
      <c r="P1257" s="16"/>
    </row>
    <row r="1258" spans="5:16" hidden="1" x14ac:dyDescent="0.25">
      <c r="E1258" s="43">
        <f>COUNTIF($O$7:O1258,FORMULARIO!$AA$2)</f>
        <v>1</v>
      </c>
      <c r="M1258" s="46"/>
      <c r="P1258" s="16"/>
    </row>
    <row r="1259" spans="5:16" hidden="1" x14ac:dyDescent="0.25">
      <c r="E1259" s="43">
        <f>COUNTIF($O$7:O1259,FORMULARIO!$AA$2)</f>
        <v>1</v>
      </c>
      <c r="M1259" s="46"/>
      <c r="P1259" s="16"/>
    </row>
    <row r="1260" spans="5:16" hidden="1" x14ac:dyDescent="0.25">
      <c r="E1260" s="43">
        <f>COUNTIF($O$7:O1260,FORMULARIO!$AA$2)</f>
        <v>1</v>
      </c>
      <c r="M1260" s="46"/>
      <c r="P1260" s="16"/>
    </row>
    <row r="1261" spans="5:16" hidden="1" x14ac:dyDescent="0.25">
      <c r="E1261" s="43">
        <f>COUNTIF($O$7:O1261,FORMULARIO!$AA$2)</f>
        <v>1</v>
      </c>
      <c r="M1261" s="46"/>
      <c r="P1261" s="16"/>
    </row>
    <row r="1262" spans="5:16" hidden="1" x14ac:dyDescent="0.25">
      <c r="E1262" s="43">
        <f>COUNTIF($O$7:O1262,FORMULARIO!$AA$2)</f>
        <v>1</v>
      </c>
      <c r="M1262" s="46"/>
      <c r="P1262" s="16"/>
    </row>
    <row r="1263" spans="5:16" hidden="1" x14ac:dyDescent="0.25">
      <c r="E1263" s="43">
        <f>COUNTIF($O$7:O1263,FORMULARIO!$AA$2)</f>
        <v>1</v>
      </c>
      <c r="M1263" s="46"/>
      <c r="P1263" s="16"/>
    </row>
    <row r="1264" spans="5:16" hidden="1" x14ac:dyDescent="0.25">
      <c r="E1264" s="43">
        <f>COUNTIF($O$7:O1264,FORMULARIO!$AA$2)</f>
        <v>1</v>
      </c>
      <c r="M1264" s="46"/>
      <c r="P1264" s="16"/>
    </row>
    <row r="1265" spans="5:16" hidden="1" x14ac:dyDescent="0.25">
      <c r="E1265" s="43">
        <f>COUNTIF($O$7:O1265,FORMULARIO!$AA$2)</f>
        <v>1</v>
      </c>
      <c r="M1265" s="46"/>
      <c r="P1265" s="16"/>
    </row>
    <row r="1266" spans="5:16" hidden="1" x14ac:dyDescent="0.25">
      <c r="E1266" s="43">
        <f>COUNTIF($O$7:O1266,FORMULARIO!$AA$2)</f>
        <v>1</v>
      </c>
      <c r="M1266" s="46"/>
      <c r="P1266" s="16"/>
    </row>
    <row r="1267" spans="5:16" hidden="1" x14ac:dyDescent="0.25">
      <c r="E1267" s="43">
        <f>COUNTIF($O$7:O1267,FORMULARIO!$AA$2)</f>
        <v>1</v>
      </c>
      <c r="M1267" s="46"/>
      <c r="P1267" s="16"/>
    </row>
    <row r="1268" spans="5:16" hidden="1" x14ac:dyDescent="0.25">
      <c r="E1268" s="43">
        <f>COUNTIF($O$7:O1268,FORMULARIO!$AA$2)</f>
        <v>1</v>
      </c>
      <c r="M1268" s="46"/>
      <c r="P1268" s="16"/>
    </row>
    <row r="1269" spans="5:16" hidden="1" x14ac:dyDescent="0.25">
      <c r="E1269" s="43">
        <f>COUNTIF($O$7:O1269,FORMULARIO!$AA$2)</f>
        <v>1</v>
      </c>
      <c r="M1269" s="46"/>
      <c r="P1269" s="16"/>
    </row>
    <row r="1270" spans="5:16" hidden="1" x14ac:dyDescent="0.25">
      <c r="E1270" s="43">
        <f>COUNTIF($O$7:O1270,FORMULARIO!$AA$2)</f>
        <v>1</v>
      </c>
      <c r="M1270" s="46"/>
      <c r="P1270" s="16"/>
    </row>
    <row r="1271" spans="5:16" hidden="1" x14ac:dyDescent="0.25">
      <c r="E1271" s="43">
        <f>COUNTIF($O$7:O1271,FORMULARIO!$AA$2)</f>
        <v>1</v>
      </c>
      <c r="M1271" s="46"/>
      <c r="P1271" s="16"/>
    </row>
    <row r="1272" spans="5:16" hidden="1" x14ac:dyDescent="0.25">
      <c r="E1272" s="43">
        <f>COUNTIF($O$7:O1272,FORMULARIO!$AA$2)</f>
        <v>1</v>
      </c>
      <c r="M1272" s="46"/>
      <c r="P1272" s="16"/>
    </row>
    <row r="1273" spans="5:16" hidden="1" x14ac:dyDescent="0.25">
      <c r="E1273" s="43">
        <f>COUNTIF($O$7:O1273,FORMULARIO!$AA$2)</f>
        <v>1</v>
      </c>
      <c r="M1273" s="46"/>
      <c r="P1273" s="16"/>
    </row>
    <row r="1274" spans="5:16" hidden="1" x14ac:dyDescent="0.25">
      <c r="E1274" s="43">
        <f>COUNTIF($O$7:O1274,FORMULARIO!$AA$2)</f>
        <v>1</v>
      </c>
      <c r="M1274" s="46"/>
      <c r="P1274" s="16"/>
    </row>
    <row r="1275" spans="5:16" hidden="1" x14ac:dyDescent="0.25">
      <c r="E1275" s="43">
        <f>COUNTIF($O$7:O1275,FORMULARIO!$AA$2)</f>
        <v>1</v>
      </c>
      <c r="M1275" s="46"/>
      <c r="P1275" s="16"/>
    </row>
    <row r="1276" spans="5:16" hidden="1" x14ac:dyDescent="0.25">
      <c r="E1276" s="43">
        <f>COUNTIF($O$7:O1276,FORMULARIO!$AA$2)</f>
        <v>1</v>
      </c>
      <c r="M1276" s="46"/>
      <c r="P1276" s="16"/>
    </row>
    <row r="1277" spans="5:16" hidden="1" x14ac:dyDescent="0.25">
      <c r="E1277" s="43">
        <f>COUNTIF($O$7:O1277,FORMULARIO!$AA$2)</f>
        <v>1</v>
      </c>
      <c r="M1277" s="46"/>
      <c r="P1277" s="16"/>
    </row>
    <row r="1278" spans="5:16" hidden="1" x14ac:dyDescent="0.25">
      <c r="E1278" s="43">
        <f>COUNTIF($O$7:O1278,FORMULARIO!$AA$2)</f>
        <v>1</v>
      </c>
      <c r="M1278" s="46"/>
      <c r="P1278" s="16"/>
    </row>
    <row r="1279" spans="5:16" hidden="1" x14ac:dyDescent="0.25">
      <c r="E1279" s="43">
        <f>COUNTIF($O$7:O1279,FORMULARIO!$AA$2)</f>
        <v>1</v>
      </c>
      <c r="M1279" s="46"/>
      <c r="P1279" s="16"/>
    </row>
    <row r="1280" spans="5:16" hidden="1" x14ac:dyDescent="0.25">
      <c r="E1280" s="43">
        <f>COUNTIF($O$7:O1280,FORMULARIO!$AA$2)</f>
        <v>1</v>
      </c>
      <c r="M1280" s="46"/>
      <c r="P1280" s="16"/>
    </row>
    <row r="1281" spans="5:16" hidden="1" x14ac:dyDescent="0.25">
      <c r="E1281" s="43">
        <f>COUNTIF($O$7:O1281,FORMULARIO!$AA$2)</f>
        <v>1</v>
      </c>
      <c r="M1281" s="46"/>
      <c r="P1281" s="16"/>
    </row>
    <row r="1282" spans="5:16" hidden="1" x14ac:dyDescent="0.25">
      <c r="E1282" s="43">
        <f>COUNTIF($O$7:O1282,FORMULARIO!$AA$2)</f>
        <v>1</v>
      </c>
      <c r="M1282" s="46"/>
      <c r="P1282" s="16"/>
    </row>
    <row r="1283" spans="5:16" hidden="1" x14ac:dyDescent="0.25">
      <c r="E1283" s="43">
        <f>COUNTIF($O$7:O1283,FORMULARIO!$AA$2)</f>
        <v>1</v>
      </c>
      <c r="M1283" s="46"/>
      <c r="P1283" s="16"/>
    </row>
    <row r="1284" spans="5:16" hidden="1" x14ac:dyDescent="0.25">
      <c r="E1284" s="43">
        <f>COUNTIF($O$7:O1284,FORMULARIO!$AA$2)</f>
        <v>1</v>
      </c>
      <c r="M1284" s="46"/>
      <c r="P1284" s="16"/>
    </row>
    <row r="1285" spans="5:16" hidden="1" x14ac:dyDescent="0.25">
      <c r="E1285" s="43">
        <f>COUNTIF($O$7:O1285,FORMULARIO!$AA$2)</f>
        <v>1</v>
      </c>
      <c r="M1285" s="46"/>
      <c r="P1285" s="16"/>
    </row>
    <row r="1286" spans="5:16" hidden="1" x14ac:dyDescent="0.25">
      <c r="E1286" s="43">
        <f>COUNTIF($O$7:O1286,FORMULARIO!$AA$2)</f>
        <v>1</v>
      </c>
      <c r="M1286" s="46"/>
      <c r="P1286" s="16"/>
    </row>
    <row r="1287" spans="5:16" hidden="1" x14ac:dyDescent="0.25">
      <c r="E1287" s="43">
        <f>COUNTIF($O$7:O1287,FORMULARIO!$AA$2)</f>
        <v>1</v>
      </c>
      <c r="M1287" s="46"/>
      <c r="P1287" s="16"/>
    </row>
    <row r="1288" spans="5:16" hidden="1" x14ac:dyDescent="0.25">
      <c r="E1288" s="43">
        <f>COUNTIF($O$7:O1288,FORMULARIO!$AA$2)</f>
        <v>1</v>
      </c>
      <c r="M1288" s="46"/>
      <c r="P1288" s="16"/>
    </row>
    <row r="1289" spans="5:16" hidden="1" x14ac:dyDescent="0.25">
      <c r="E1289" s="43">
        <f>COUNTIF($O$7:O1289,FORMULARIO!$AA$2)</f>
        <v>1</v>
      </c>
      <c r="M1289" s="46"/>
      <c r="P1289" s="16"/>
    </row>
    <row r="1290" spans="5:16" hidden="1" x14ac:dyDescent="0.25">
      <c r="E1290" s="43">
        <f>COUNTIF($O$7:O1290,FORMULARIO!$AA$2)</f>
        <v>1</v>
      </c>
      <c r="M1290" s="46"/>
      <c r="P1290" s="16"/>
    </row>
    <row r="1291" spans="5:16" hidden="1" x14ac:dyDescent="0.25">
      <c r="E1291" s="43">
        <f>COUNTIF($O$7:O1291,FORMULARIO!$AA$2)</f>
        <v>1</v>
      </c>
      <c r="M1291" s="46"/>
      <c r="P1291" s="16"/>
    </row>
    <row r="1292" spans="5:16" hidden="1" x14ac:dyDescent="0.25">
      <c r="E1292" s="43">
        <f>COUNTIF($O$7:O1292,FORMULARIO!$AA$2)</f>
        <v>1</v>
      </c>
      <c r="M1292" s="46"/>
      <c r="P1292" s="16"/>
    </row>
    <row r="1293" spans="5:16" hidden="1" x14ac:dyDescent="0.25">
      <c r="E1293" s="43">
        <f>COUNTIF($O$7:O1293,FORMULARIO!$AA$2)</f>
        <v>1</v>
      </c>
      <c r="M1293" s="46"/>
      <c r="P1293" s="16"/>
    </row>
    <row r="1294" spans="5:16" hidden="1" x14ac:dyDescent="0.25">
      <c r="E1294" s="43">
        <f>COUNTIF($O$7:O1294,FORMULARIO!$AA$2)</f>
        <v>1</v>
      </c>
      <c r="M1294" s="46"/>
      <c r="P1294" s="16"/>
    </row>
    <row r="1295" spans="5:16" hidden="1" x14ac:dyDescent="0.25">
      <c r="E1295" s="43">
        <f>COUNTIF($O$7:O1295,FORMULARIO!$AA$2)</f>
        <v>1</v>
      </c>
      <c r="M1295" s="46"/>
      <c r="P1295" s="16"/>
    </row>
    <row r="1296" spans="5:16" hidden="1" x14ac:dyDescent="0.25">
      <c r="E1296" s="43">
        <f>COUNTIF($O$7:O1296,FORMULARIO!$AA$2)</f>
        <v>1</v>
      </c>
      <c r="M1296" s="46"/>
      <c r="P1296" s="16"/>
    </row>
    <row r="1297" spans="5:16" hidden="1" x14ac:dyDescent="0.25">
      <c r="E1297" s="43">
        <f>COUNTIF($O$7:O1297,FORMULARIO!$AA$2)</f>
        <v>1</v>
      </c>
      <c r="M1297" s="46"/>
      <c r="P1297" s="16"/>
    </row>
    <row r="1298" spans="5:16" hidden="1" x14ac:dyDescent="0.25">
      <c r="E1298" s="43">
        <f>COUNTIF($O$7:O1298,FORMULARIO!$AA$2)</f>
        <v>1</v>
      </c>
      <c r="M1298" s="46"/>
      <c r="P1298" s="16"/>
    </row>
    <row r="1299" spans="5:16" hidden="1" x14ac:dyDescent="0.25">
      <c r="E1299" s="43">
        <f>COUNTIF($O$7:O1299,FORMULARIO!$AA$2)</f>
        <v>1</v>
      </c>
      <c r="M1299" s="46"/>
      <c r="P1299" s="16"/>
    </row>
    <row r="1300" spans="5:16" hidden="1" x14ac:dyDescent="0.25">
      <c r="E1300" s="43">
        <f>COUNTIF($O$7:O1300,FORMULARIO!$AA$2)</f>
        <v>1</v>
      </c>
      <c r="M1300" s="46"/>
      <c r="P1300" s="16"/>
    </row>
    <row r="1301" spans="5:16" hidden="1" x14ac:dyDescent="0.25">
      <c r="E1301" s="43">
        <f>COUNTIF($O$7:O1301,FORMULARIO!$AA$2)</f>
        <v>1</v>
      </c>
      <c r="M1301" s="46"/>
      <c r="P1301" s="16"/>
    </row>
    <row r="1302" spans="5:16" hidden="1" x14ac:dyDescent="0.25">
      <c r="E1302" s="43">
        <f>COUNTIF($O$7:O1302,FORMULARIO!$AA$2)</f>
        <v>1</v>
      </c>
      <c r="M1302" s="46"/>
      <c r="P1302" s="16"/>
    </row>
    <row r="1303" spans="5:16" hidden="1" x14ac:dyDescent="0.25">
      <c r="E1303" s="43">
        <f>COUNTIF($O$7:O1303,FORMULARIO!$AA$2)</f>
        <v>1</v>
      </c>
      <c r="M1303" s="46"/>
      <c r="P1303" s="16"/>
    </row>
    <row r="1304" spans="5:16" hidden="1" x14ac:dyDescent="0.25">
      <c r="E1304" s="43">
        <f>COUNTIF($O$7:O1304,FORMULARIO!$AA$2)</f>
        <v>1</v>
      </c>
      <c r="M1304" s="46"/>
      <c r="P1304" s="16"/>
    </row>
    <row r="1305" spans="5:16" hidden="1" x14ac:dyDescent="0.25">
      <c r="E1305" s="43">
        <f>COUNTIF($O$7:O1305,FORMULARIO!$AA$2)</f>
        <v>1</v>
      </c>
      <c r="M1305" s="46"/>
      <c r="P1305" s="16"/>
    </row>
    <row r="1306" spans="5:16" hidden="1" x14ac:dyDescent="0.25">
      <c r="E1306" s="43">
        <f>COUNTIF($O$7:O1306,FORMULARIO!$AA$2)</f>
        <v>1</v>
      </c>
      <c r="M1306" s="46"/>
      <c r="P1306" s="16"/>
    </row>
    <row r="1307" spans="5:16" hidden="1" x14ac:dyDescent="0.25">
      <c r="E1307" s="43">
        <f>COUNTIF($O$7:O1307,FORMULARIO!$AA$2)</f>
        <v>1</v>
      </c>
      <c r="M1307" s="46"/>
      <c r="P1307" s="16"/>
    </row>
    <row r="1308" spans="5:16" hidden="1" x14ac:dyDescent="0.25">
      <c r="E1308" s="43">
        <f>COUNTIF($O$7:O1308,FORMULARIO!$AA$2)</f>
        <v>1</v>
      </c>
      <c r="M1308" s="46"/>
      <c r="P1308" s="16"/>
    </row>
    <row r="1309" spans="5:16" hidden="1" x14ac:dyDescent="0.25">
      <c r="E1309" s="43">
        <f>COUNTIF($O$7:O1309,FORMULARIO!$AA$2)</f>
        <v>1</v>
      </c>
      <c r="M1309" s="46"/>
      <c r="P1309" s="16"/>
    </row>
    <row r="1310" spans="5:16" hidden="1" x14ac:dyDescent="0.25">
      <c r="E1310" s="43">
        <f>COUNTIF($O$7:O1310,FORMULARIO!$AA$2)</f>
        <v>1</v>
      </c>
      <c r="M1310" s="46"/>
      <c r="P1310" s="16"/>
    </row>
    <row r="1311" spans="5:16" hidden="1" x14ac:dyDescent="0.25">
      <c r="E1311" s="43">
        <f>COUNTIF($O$7:O1311,FORMULARIO!$AA$2)</f>
        <v>1</v>
      </c>
      <c r="M1311" s="46"/>
      <c r="P1311" s="16"/>
    </row>
    <row r="1312" spans="5:16" hidden="1" x14ac:dyDescent="0.25">
      <c r="E1312" s="43">
        <f>COUNTIF($O$7:O1312,FORMULARIO!$AA$2)</f>
        <v>1</v>
      </c>
      <c r="M1312" s="46"/>
      <c r="P1312" s="16"/>
    </row>
    <row r="1313" spans="5:16" hidden="1" x14ac:dyDescent="0.25">
      <c r="E1313" s="43">
        <f>COUNTIF($O$7:O1313,FORMULARIO!$AA$2)</f>
        <v>1</v>
      </c>
      <c r="M1313" s="46"/>
      <c r="P1313" s="16"/>
    </row>
    <row r="1314" spans="5:16" hidden="1" x14ac:dyDescent="0.25">
      <c r="E1314" s="43">
        <f>COUNTIF($O$7:O1314,FORMULARIO!$AA$2)</f>
        <v>1</v>
      </c>
      <c r="M1314" s="46"/>
      <c r="P1314" s="16"/>
    </row>
    <row r="1315" spans="5:16" hidden="1" x14ac:dyDescent="0.25">
      <c r="E1315" s="43">
        <f>COUNTIF($O$7:O1315,FORMULARIO!$AA$2)</f>
        <v>1</v>
      </c>
      <c r="M1315" s="46"/>
      <c r="P1315" s="16"/>
    </row>
    <row r="1316" spans="5:16" hidden="1" x14ac:dyDescent="0.25">
      <c r="E1316" s="43">
        <f>COUNTIF($O$7:O1316,FORMULARIO!$AA$2)</f>
        <v>1</v>
      </c>
      <c r="M1316" s="46"/>
      <c r="P1316" s="16"/>
    </row>
    <row r="1317" spans="5:16" hidden="1" x14ac:dyDescent="0.25">
      <c r="E1317" s="43">
        <f>COUNTIF($O$7:O1317,FORMULARIO!$AA$2)</f>
        <v>1</v>
      </c>
      <c r="M1317" s="46"/>
      <c r="P1317" s="16"/>
    </row>
    <row r="1318" spans="5:16" hidden="1" x14ac:dyDescent="0.25">
      <c r="E1318" s="43">
        <f>COUNTIF($O$7:O1318,FORMULARIO!$AA$2)</f>
        <v>1</v>
      </c>
      <c r="M1318" s="46"/>
      <c r="P1318" s="16"/>
    </row>
    <row r="1319" spans="5:16" hidden="1" x14ac:dyDescent="0.25">
      <c r="E1319" s="43">
        <f>COUNTIF($O$7:O1319,FORMULARIO!$AA$2)</f>
        <v>1</v>
      </c>
      <c r="M1319" s="46"/>
      <c r="P1319" s="16"/>
    </row>
    <row r="1320" spans="5:16" hidden="1" x14ac:dyDescent="0.25">
      <c r="E1320" s="43">
        <f>COUNTIF($O$7:O1320,FORMULARIO!$AA$2)</f>
        <v>1</v>
      </c>
      <c r="M1320" s="46"/>
      <c r="P1320" s="16"/>
    </row>
    <row r="1321" spans="5:16" hidden="1" x14ac:dyDescent="0.25">
      <c r="E1321" s="43">
        <f>COUNTIF($O$7:O1321,FORMULARIO!$AA$2)</f>
        <v>1</v>
      </c>
      <c r="M1321" s="46"/>
      <c r="P1321" s="16"/>
    </row>
    <row r="1322" spans="5:16" hidden="1" x14ac:dyDescent="0.25">
      <c r="E1322" s="43">
        <f>COUNTIF($O$7:O1322,FORMULARIO!$AA$2)</f>
        <v>1</v>
      </c>
      <c r="M1322" s="46"/>
      <c r="P1322" s="16"/>
    </row>
    <row r="1323" spans="5:16" hidden="1" x14ac:dyDescent="0.25">
      <c r="E1323" s="43">
        <f>COUNTIF($O$7:O1323,FORMULARIO!$AA$2)</f>
        <v>1</v>
      </c>
      <c r="M1323" s="46"/>
      <c r="P1323" s="16"/>
    </row>
    <row r="1324" spans="5:16" hidden="1" x14ac:dyDescent="0.25">
      <c r="E1324" s="43">
        <f>COUNTIF($O$7:O1324,FORMULARIO!$AA$2)</f>
        <v>1</v>
      </c>
      <c r="M1324" s="46"/>
      <c r="P1324" s="16"/>
    </row>
    <row r="1325" spans="5:16" hidden="1" x14ac:dyDescent="0.25">
      <c r="E1325" s="43">
        <f>COUNTIF($O$7:O1325,FORMULARIO!$AA$2)</f>
        <v>1</v>
      </c>
      <c r="M1325" s="46"/>
      <c r="P1325" s="16"/>
    </row>
    <row r="1326" spans="5:16" hidden="1" x14ac:dyDescent="0.25">
      <c r="E1326" s="43">
        <f>COUNTIF($O$7:O1326,FORMULARIO!$AA$2)</f>
        <v>1</v>
      </c>
      <c r="M1326" s="46"/>
      <c r="P1326" s="16"/>
    </row>
    <row r="1327" spans="5:16" hidden="1" x14ac:dyDescent="0.25">
      <c r="E1327" s="43">
        <f>COUNTIF($O$7:O1327,FORMULARIO!$AA$2)</f>
        <v>1</v>
      </c>
      <c r="M1327" s="46"/>
      <c r="P1327" s="16"/>
    </row>
    <row r="1328" spans="5:16" hidden="1" x14ac:dyDescent="0.25">
      <c r="E1328" s="43">
        <f>COUNTIF($O$7:O1328,FORMULARIO!$AA$2)</f>
        <v>1</v>
      </c>
      <c r="M1328" s="46"/>
      <c r="P1328" s="16"/>
    </row>
    <row r="1329" spans="5:16" hidden="1" x14ac:dyDescent="0.25">
      <c r="E1329" s="43">
        <f>COUNTIF($O$7:O1329,FORMULARIO!$AA$2)</f>
        <v>1</v>
      </c>
      <c r="M1329" s="46"/>
      <c r="P1329" s="16"/>
    </row>
    <row r="1330" spans="5:16" hidden="1" x14ac:dyDescent="0.25">
      <c r="E1330" s="43">
        <f>COUNTIF($O$7:O1330,FORMULARIO!$AA$2)</f>
        <v>1</v>
      </c>
      <c r="M1330" s="46"/>
      <c r="P1330" s="16"/>
    </row>
    <row r="1331" spans="5:16" hidden="1" x14ac:dyDescent="0.25">
      <c r="E1331" s="43">
        <f>COUNTIF($O$7:O1331,FORMULARIO!$AA$2)</f>
        <v>1</v>
      </c>
      <c r="M1331" s="46"/>
      <c r="P1331" s="16"/>
    </row>
    <row r="1332" spans="5:16" hidden="1" x14ac:dyDescent="0.25">
      <c r="E1332" s="43">
        <f>COUNTIF($O$7:O1332,FORMULARIO!$AA$2)</f>
        <v>1</v>
      </c>
      <c r="M1332" s="46"/>
      <c r="P1332" s="16"/>
    </row>
    <row r="1333" spans="5:16" hidden="1" x14ac:dyDescent="0.25">
      <c r="E1333" s="43">
        <f>COUNTIF($O$7:O1333,FORMULARIO!$AA$2)</f>
        <v>1</v>
      </c>
      <c r="M1333" s="46"/>
      <c r="P1333" s="16"/>
    </row>
    <row r="1334" spans="5:16" hidden="1" x14ac:dyDescent="0.25">
      <c r="E1334" s="43">
        <f>COUNTIF($O$7:O1334,FORMULARIO!$AA$2)</f>
        <v>1</v>
      </c>
      <c r="M1334" s="46"/>
      <c r="P1334" s="16"/>
    </row>
    <row r="1335" spans="5:16" hidden="1" x14ac:dyDescent="0.25">
      <c r="E1335" s="43">
        <f>COUNTIF($O$7:O1335,FORMULARIO!$AA$2)</f>
        <v>1</v>
      </c>
      <c r="M1335" s="46"/>
      <c r="P1335" s="16"/>
    </row>
    <row r="1336" spans="5:16" hidden="1" x14ac:dyDescent="0.25">
      <c r="E1336" s="43">
        <f>COUNTIF($O$7:O1336,FORMULARIO!$AA$2)</f>
        <v>1</v>
      </c>
      <c r="M1336" s="46"/>
      <c r="P1336" s="16"/>
    </row>
    <row r="1337" spans="5:16" hidden="1" x14ac:dyDescent="0.25">
      <c r="E1337" s="43">
        <f>COUNTIF($O$7:O1337,FORMULARIO!$AA$2)</f>
        <v>1</v>
      </c>
      <c r="M1337" s="46"/>
      <c r="P1337" s="16"/>
    </row>
    <row r="1338" spans="5:16" hidden="1" x14ac:dyDescent="0.25">
      <c r="E1338" s="43">
        <f>COUNTIF($O$7:O1338,FORMULARIO!$AA$2)</f>
        <v>1</v>
      </c>
      <c r="M1338" s="46"/>
      <c r="P1338" s="16"/>
    </row>
    <row r="1339" spans="5:16" hidden="1" x14ac:dyDescent="0.25">
      <c r="E1339" s="43">
        <f>COUNTIF($O$7:O1339,FORMULARIO!$AA$2)</f>
        <v>1</v>
      </c>
      <c r="M1339" s="46"/>
      <c r="P1339" s="16"/>
    </row>
    <row r="1340" spans="5:16" hidden="1" x14ac:dyDescent="0.25">
      <c r="E1340" s="43">
        <f>COUNTIF($O$7:O1340,FORMULARIO!$AA$2)</f>
        <v>1</v>
      </c>
      <c r="M1340" s="46"/>
      <c r="P1340" s="16"/>
    </row>
    <row r="1341" spans="5:16" hidden="1" x14ac:dyDescent="0.25">
      <c r="E1341" s="43">
        <f>COUNTIF($O$7:O1341,FORMULARIO!$AA$2)</f>
        <v>1</v>
      </c>
      <c r="M1341" s="46"/>
      <c r="P1341" s="16"/>
    </row>
    <row r="1342" spans="5:16" hidden="1" x14ac:dyDescent="0.25">
      <c r="E1342" s="43">
        <f>COUNTIF($O$7:O1342,FORMULARIO!$AA$2)</f>
        <v>1</v>
      </c>
      <c r="M1342" s="46"/>
      <c r="P1342" s="16"/>
    </row>
    <row r="1343" spans="5:16" hidden="1" x14ac:dyDescent="0.25">
      <c r="E1343" s="43">
        <f>COUNTIF($O$7:O1343,FORMULARIO!$AA$2)</f>
        <v>1</v>
      </c>
      <c r="M1343" s="46"/>
      <c r="P1343" s="16"/>
    </row>
    <row r="1344" spans="5:16" hidden="1" x14ac:dyDescent="0.25">
      <c r="E1344" s="43">
        <f>COUNTIF($O$7:O1344,FORMULARIO!$AA$2)</f>
        <v>1</v>
      </c>
      <c r="M1344" s="46"/>
      <c r="P1344" s="16"/>
    </row>
    <row r="1345" spans="5:16" hidden="1" x14ac:dyDescent="0.25">
      <c r="E1345" s="43">
        <f>COUNTIF($O$7:O1345,FORMULARIO!$AA$2)</f>
        <v>1</v>
      </c>
      <c r="M1345" s="46"/>
      <c r="P1345" s="16"/>
    </row>
    <row r="1346" spans="5:16" hidden="1" x14ac:dyDescent="0.25">
      <c r="E1346" s="43">
        <f>COUNTIF($O$7:O1346,FORMULARIO!$AA$2)</f>
        <v>1</v>
      </c>
      <c r="M1346" s="46"/>
      <c r="P1346" s="16"/>
    </row>
    <row r="1347" spans="5:16" hidden="1" x14ac:dyDescent="0.25">
      <c r="E1347" s="43">
        <f>COUNTIF($O$7:O1347,FORMULARIO!$AA$2)</f>
        <v>1</v>
      </c>
      <c r="M1347" s="46"/>
      <c r="P1347" s="16"/>
    </row>
    <row r="1348" spans="5:16" hidden="1" x14ac:dyDescent="0.25">
      <c r="E1348" s="43">
        <f>COUNTIF($O$7:O1348,FORMULARIO!$AA$2)</f>
        <v>1</v>
      </c>
      <c r="M1348" s="46"/>
      <c r="P1348" s="16"/>
    </row>
    <row r="1349" spans="5:16" hidden="1" x14ac:dyDescent="0.25">
      <c r="E1349" s="43">
        <f>COUNTIF($O$7:O1349,FORMULARIO!$AA$2)</f>
        <v>1</v>
      </c>
      <c r="M1349" s="46"/>
      <c r="P1349" s="16"/>
    </row>
    <row r="1350" spans="5:16" hidden="1" x14ac:dyDescent="0.25">
      <c r="E1350" s="43">
        <f>COUNTIF($O$7:O1350,FORMULARIO!$AA$2)</f>
        <v>1</v>
      </c>
      <c r="M1350" s="46"/>
      <c r="P1350" s="16"/>
    </row>
    <row r="1351" spans="5:16" hidden="1" x14ac:dyDescent="0.25">
      <c r="E1351" s="43">
        <f>COUNTIF($O$7:O1351,FORMULARIO!$AA$2)</f>
        <v>1</v>
      </c>
      <c r="M1351" s="46"/>
      <c r="P1351" s="16"/>
    </row>
    <row r="1352" spans="5:16" hidden="1" x14ac:dyDescent="0.25">
      <c r="E1352" s="43">
        <f>COUNTIF($O$7:O1352,FORMULARIO!$AA$2)</f>
        <v>1</v>
      </c>
      <c r="M1352" s="46"/>
      <c r="P1352" s="16"/>
    </row>
    <row r="1353" spans="5:16" hidden="1" x14ac:dyDescent="0.25">
      <c r="E1353" s="43">
        <f>COUNTIF($O$7:O1353,FORMULARIO!$AA$2)</f>
        <v>1</v>
      </c>
      <c r="M1353" s="46"/>
      <c r="P1353" s="16"/>
    </row>
    <row r="1354" spans="5:16" hidden="1" x14ac:dyDescent="0.25">
      <c r="E1354" s="43">
        <f>COUNTIF($O$7:O1354,FORMULARIO!$AA$2)</f>
        <v>1</v>
      </c>
      <c r="M1354" s="46"/>
      <c r="P1354" s="16"/>
    </row>
    <row r="1355" spans="5:16" hidden="1" x14ac:dyDescent="0.25">
      <c r="E1355" s="43">
        <f>COUNTIF($O$7:O1355,FORMULARIO!$AA$2)</f>
        <v>1</v>
      </c>
      <c r="M1355" s="46"/>
      <c r="P1355" s="16"/>
    </row>
    <row r="1356" spans="5:16" hidden="1" x14ac:dyDescent="0.25">
      <c r="E1356" s="43">
        <f>COUNTIF($O$7:O1356,FORMULARIO!$AA$2)</f>
        <v>1</v>
      </c>
      <c r="M1356" s="46"/>
      <c r="P1356" s="16"/>
    </row>
    <row r="1357" spans="5:16" hidden="1" x14ac:dyDescent="0.25">
      <c r="E1357" s="43">
        <f>COUNTIF($O$7:O1357,FORMULARIO!$AA$2)</f>
        <v>1</v>
      </c>
      <c r="M1357" s="46"/>
      <c r="P1357" s="16"/>
    </row>
    <row r="1358" spans="5:16" hidden="1" x14ac:dyDescent="0.25">
      <c r="E1358" s="43">
        <f>COUNTIF($O$7:O1358,FORMULARIO!$AA$2)</f>
        <v>1</v>
      </c>
      <c r="M1358" s="46"/>
      <c r="P1358" s="16"/>
    </row>
    <row r="1359" spans="5:16" hidden="1" x14ac:dyDescent="0.25">
      <c r="E1359" s="43">
        <f>COUNTIF($O$7:O1359,FORMULARIO!$AA$2)</f>
        <v>1</v>
      </c>
      <c r="M1359" s="46"/>
      <c r="P1359" s="16"/>
    </row>
    <row r="1360" spans="5:16" hidden="1" x14ac:dyDescent="0.25">
      <c r="E1360" s="43">
        <f>COUNTIF($O$7:O1360,FORMULARIO!$AA$2)</f>
        <v>1</v>
      </c>
      <c r="M1360" s="46"/>
      <c r="P1360" s="16"/>
    </row>
    <row r="1361" spans="5:16" hidden="1" x14ac:dyDescent="0.25">
      <c r="E1361" s="43">
        <f>COUNTIF($O$7:O1361,FORMULARIO!$AA$2)</f>
        <v>1</v>
      </c>
      <c r="M1361" s="46"/>
      <c r="P1361" s="16"/>
    </row>
    <row r="1362" spans="5:16" hidden="1" x14ac:dyDescent="0.25">
      <c r="E1362" s="43">
        <f>COUNTIF($O$7:O1362,FORMULARIO!$AA$2)</f>
        <v>1</v>
      </c>
      <c r="M1362" s="46"/>
      <c r="P1362" s="16"/>
    </row>
    <row r="1363" spans="5:16" hidden="1" x14ac:dyDescent="0.25">
      <c r="E1363" s="43">
        <f>COUNTIF($O$7:O1363,FORMULARIO!$AA$2)</f>
        <v>1</v>
      </c>
      <c r="M1363" s="46"/>
      <c r="P1363" s="16"/>
    </row>
    <row r="1364" spans="5:16" hidden="1" x14ac:dyDescent="0.25">
      <c r="E1364" s="43">
        <f>COUNTIF($O$7:O1364,FORMULARIO!$AA$2)</f>
        <v>1</v>
      </c>
      <c r="M1364" s="46"/>
      <c r="P1364" s="16"/>
    </row>
    <row r="1365" spans="5:16" hidden="1" x14ac:dyDescent="0.25">
      <c r="E1365" s="43">
        <f>COUNTIF($O$7:O1365,FORMULARIO!$AA$2)</f>
        <v>1</v>
      </c>
      <c r="M1365" s="46"/>
      <c r="P1365" s="16"/>
    </row>
    <row r="1366" spans="5:16" hidden="1" x14ac:dyDescent="0.25">
      <c r="E1366" s="43">
        <f>COUNTIF($O$7:O1366,FORMULARIO!$AA$2)</f>
        <v>1</v>
      </c>
      <c r="M1366" s="46"/>
      <c r="P1366" s="16"/>
    </row>
    <row r="1367" spans="5:16" hidden="1" x14ac:dyDescent="0.25">
      <c r="E1367" s="43">
        <f>COUNTIF($O$7:O1367,FORMULARIO!$AA$2)</f>
        <v>1</v>
      </c>
      <c r="M1367" s="46"/>
      <c r="P1367" s="16"/>
    </row>
    <row r="1368" spans="5:16" hidden="1" x14ac:dyDescent="0.25">
      <c r="E1368" s="43">
        <f>COUNTIF($O$7:O1368,FORMULARIO!$AA$2)</f>
        <v>1</v>
      </c>
      <c r="M1368" s="46"/>
      <c r="P1368" s="16"/>
    </row>
    <row r="1369" spans="5:16" hidden="1" x14ac:dyDescent="0.25">
      <c r="E1369" s="43">
        <f>COUNTIF($O$7:O1369,FORMULARIO!$AA$2)</f>
        <v>1</v>
      </c>
      <c r="M1369" s="46"/>
      <c r="P1369" s="16"/>
    </row>
    <row r="1370" spans="5:16" hidden="1" x14ac:dyDescent="0.25">
      <c r="E1370" s="43">
        <f>COUNTIF($O$7:O1370,FORMULARIO!$AA$2)</f>
        <v>1</v>
      </c>
      <c r="M1370" s="46"/>
      <c r="P1370" s="16"/>
    </row>
    <row r="1371" spans="5:16" hidden="1" x14ac:dyDescent="0.25">
      <c r="E1371" s="43">
        <f>COUNTIF($O$7:O1371,FORMULARIO!$AA$2)</f>
        <v>1</v>
      </c>
      <c r="M1371" s="46"/>
      <c r="P1371" s="16"/>
    </row>
    <row r="1372" spans="5:16" hidden="1" x14ac:dyDescent="0.25">
      <c r="E1372" s="43">
        <f>COUNTIF($O$7:O1372,FORMULARIO!$AA$2)</f>
        <v>1</v>
      </c>
      <c r="M1372" s="46"/>
      <c r="P1372" s="16"/>
    </row>
    <row r="1373" spans="5:16" hidden="1" x14ac:dyDescent="0.25">
      <c r="E1373" s="43">
        <f>COUNTIF($O$7:O1373,FORMULARIO!$AA$2)</f>
        <v>1</v>
      </c>
      <c r="M1373" s="46"/>
      <c r="P1373" s="16"/>
    </row>
    <row r="1374" spans="5:16" hidden="1" x14ac:dyDescent="0.25">
      <c r="E1374" s="43">
        <f>COUNTIF($O$7:O1374,FORMULARIO!$AA$2)</f>
        <v>1</v>
      </c>
      <c r="M1374" s="46"/>
      <c r="P1374" s="16"/>
    </row>
    <row r="1375" spans="5:16" hidden="1" x14ac:dyDescent="0.25">
      <c r="E1375" s="43">
        <f>COUNTIF($O$7:O1375,FORMULARIO!$AA$2)</f>
        <v>1</v>
      </c>
      <c r="M1375" s="46"/>
      <c r="P1375" s="16"/>
    </row>
    <row r="1376" spans="5:16" hidden="1" x14ac:dyDescent="0.25">
      <c r="E1376" s="43">
        <f>COUNTIF($O$7:O1376,FORMULARIO!$AA$2)</f>
        <v>1</v>
      </c>
      <c r="M1376" s="46"/>
      <c r="P1376" s="16"/>
    </row>
    <row r="1377" spans="5:16" hidden="1" x14ac:dyDescent="0.25">
      <c r="E1377" s="43">
        <f>COUNTIF($O$7:O1377,FORMULARIO!$AA$2)</f>
        <v>1</v>
      </c>
      <c r="M1377" s="46"/>
      <c r="P1377" s="16"/>
    </row>
    <row r="1378" spans="5:16" hidden="1" x14ac:dyDescent="0.25">
      <c r="E1378" s="43">
        <f>COUNTIF($O$7:O1378,FORMULARIO!$AA$2)</f>
        <v>1</v>
      </c>
      <c r="M1378" s="46"/>
      <c r="P1378" s="16"/>
    </row>
    <row r="1379" spans="5:16" hidden="1" x14ac:dyDescent="0.25">
      <c r="E1379" s="43">
        <f>COUNTIF($O$7:O1379,FORMULARIO!$AA$2)</f>
        <v>1</v>
      </c>
      <c r="M1379" s="46"/>
      <c r="P1379" s="16"/>
    </row>
    <row r="1380" spans="5:16" hidden="1" x14ac:dyDescent="0.25">
      <c r="E1380" s="43">
        <f>COUNTIF($O$7:O1380,FORMULARIO!$AA$2)</f>
        <v>1</v>
      </c>
      <c r="M1380" s="46"/>
      <c r="P1380" s="16"/>
    </row>
    <row r="1381" spans="5:16" hidden="1" x14ac:dyDescent="0.25">
      <c r="E1381" s="43">
        <f>COUNTIF($O$7:O1381,FORMULARIO!$AA$2)</f>
        <v>1</v>
      </c>
      <c r="M1381" s="46"/>
      <c r="P1381" s="16"/>
    </row>
    <row r="1382" spans="5:16" hidden="1" x14ac:dyDescent="0.25">
      <c r="E1382" s="43">
        <f>COUNTIF($O$7:O1382,FORMULARIO!$AA$2)</f>
        <v>1</v>
      </c>
      <c r="M1382" s="46"/>
      <c r="P1382" s="16"/>
    </row>
    <row r="1383" spans="5:16" hidden="1" x14ac:dyDescent="0.25">
      <c r="E1383" s="43">
        <f>COUNTIF($O$7:O1383,FORMULARIO!$AA$2)</f>
        <v>1</v>
      </c>
      <c r="M1383" s="46"/>
      <c r="P1383" s="16"/>
    </row>
    <row r="1384" spans="5:16" hidden="1" x14ac:dyDescent="0.25">
      <c r="E1384" s="43">
        <f>COUNTIF($O$7:O1384,FORMULARIO!$AA$2)</f>
        <v>1</v>
      </c>
      <c r="M1384" s="46"/>
      <c r="P1384" s="16"/>
    </row>
    <row r="1385" spans="5:16" hidden="1" x14ac:dyDescent="0.25">
      <c r="E1385" s="43">
        <f>COUNTIF($O$7:O1385,FORMULARIO!$AA$2)</f>
        <v>1</v>
      </c>
      <c r="M1385" s="46"/>
      <c r="P1385" s="16"/>
    </row>
    <row r="1386" spans="5:16" hidden="1" x14ac:dyDescent="0.25">
      <c r="E1386" s="43">
        <f>COUNTIF($O$7:O1386,FORMULARIO!$AA$2)</f>
        <v>1</v>
      </c>
      <c r="M1386" s="46"/>
      <c r="P1386" s="16"/>
    </row>
    <row r="1387" spans="5:16" hidden="1" x14ac:dyDescent="0.25">
      <c r="E1387" s="43">
        <f>COUNTIF($O$7:O1387,FORMULARIO!$AA$2)</f>
        <v>1</v>
      </c>
      <c r="M1387" s="46"/>
      <c r="P1387" s="16"/>
    </row>
    <row r="1388" spans="5:16" hidden="1" x14ac:dyDescent="0.25">
      <c r="E1388" s="43">
        <f>COUNTIF($O$7:O1388,FORMULARIO!$AA$2)</f>
        <v>1</v>
      </c>
      <c r="M1388" s="46"/>
      <c r="P1388" s="16"/>
    </row>
    <row r="1389" spans="5:16" hidden="1" x14ac:dyDescent="0.25">
      <c r="E1389" s="43">
        <f>COUNTIF($O$7:O1389,FORMULARIO!$AA$2)</f>
        <v>1</v>
      </c>
      <c r="M1389" s="46"/>
      <c r="P1389" s="16"/>
    </row>
    <row r="1390" spans="5:16" hidden="1" x14ac:dyDescent="0.25">
      <c r="E1390" s="43">
        <f>COUNTIF($O$7:O1390,FORMULARIO!$AA$2)</f>
        <v>1</v>
      </c>
      <c r="M1390" s="46"/>
      <c r="P1390" s="16"/>
    </row>
    <row r="1391" spans="5:16" hidden="1" x14ac:dyDescent="0.25">
      <c r="E1391" s="43">
        <f>COUNTIF($O$7:O1391,FORMULARIO!$AA$2)</f>
        <v>1</v>
      </c>
      <c r="M1391" s="46"/>
      <c r="P1391" s="16"/>
    </row>
    <row r="1392" spans="5:16" hidden="1" x14ac:dyDescent="0.25">
      <c r="E1392" s="43">
        <f>COUNTIF($O$7:O1392,FORMULARIO!$AA$2)</f>
        <v>1</v>
      </c>
      <c r="M1392" s="46"/>
      <c r="P1392" s="16"/>
    </row>
    <row r="1393" spans="5:16" hidden="1" x14ac:dyDescent="0.25">
      <c r="E1393" s="43">
        <f>COUNTIF($O$7:O1393,FORMULARIO!$AA$2)</f>
        <v>1</v>
      </c>
      <c r="M1393" s="46"/>
      <c r="P1393" s="16"/>
    </row>
    <row r="1394" spans="5:16" hidden="1" x14ac:dyDescent="0.25">
      <c r="E1394" s="43">
        <f>COUNTIF($O$7:O1394,FORMULARIO!$AA$2)</f>
        <v>1</v>
      </c>
      <c r="M1394" s="46"/>
      <c r="P1394" s="16"/>
    </row>
    <row r="1395" spans="5:16" hidden="1" x14ac:dyDescent="0.25">
      <c r="E1395" s="43">
        <f>COUNTIF($O$7:O1395,FORMULARIO!$AA$2)</f>
        <v>1</v>
      </c>
      <c r="M1395" s="46"/>
      <c r="P1395" s="16"/>
    </row>
    <row r="1396" spans="5:16" hidden="1" x14ac:dyDescent="0.25">
      <c r="E1396" s="43">
        <f>COUNTIF($O$7:O1396,FORMULARIO!$AA$2)</f>
        <v>1</v>
      </c>
      <c r="M1396" s="46"/>
      <c r="P1396" s="16"/>
    </row>
    <row r="1397" spans="5:16" hidden="1" x14ac:dyDescent="0.25">
      <c r="E1397" s="43">
        <f>COUNTIF($O$7:O1397,FORMULARIO!$AA$2)</f>
        <v>1</v>
      </c>
      <c r="M1397" s="46"/>
      <c r="P1397" s="16"/>
    </row>
    <row r="1398" spans="5:16" hidden="1" x14ac:dyDescent="0.25">
      <c r="E1398" s="43">
        <f>COUNTIF($O$7:O1398,FORMULARIO!$AA$2)</f>
        <v>1</v>
      </c>
      <c r="M1398" s="46"/>
      <c r="P1398" s="16"/>
    </row>
    <row r="1399" spans="5:16" hidden="1" x14ac:dyDescent="0.25">
      <c r="E1399" s="43">
        <f>COUNTIF($O$7:O1399,FORMULARIO!$AA$2)</f>
        <v>1</v>
      </c>
      <c r="M1399" s="46"/>
      <c r="P1399" s="16"/>
    </row>
    <row r="1400" spans="5:16" hidden="1" x14ac:dyDescent="0.25">
      <c r="E1400" s="43">
        <f>COUNTIF($O$7:O1400,FORMULARIO!$AA$2)</f>
        <v>1</v>
      </c>
      <c r="M1400" s="46"/>
      <c r="P1400" s="16"/>
    </row>
    <row r="1401" spans="5:16" hidden="1" x14ac:dyDescent="0.25">
      <c r="E1401" s="43">
        <f>COUNTIF($O$7:O1401,FORMULARIO!$AA$2)</f>
        <v>1</v>
      </c>
      <c r="M1401" s="46"/>
      <c r="P1401" s="16"/>
    </row>
    <row r="1402" spans="5:16" hidden="1" x14ac:dyDescent="0.25">
      <c r="E1402" s="43">
        <f>COUNTIF($O$7:O1402,FORMULARIO!$AA$2)</f>
        <v>1</v>
      </c>
      <c r="M1402" s="46"/>
      <c r="P1402" s="16"/>
    </row>
    <row r="1403" spans="5:16" hidden="1" x14ac:dyDescent="0.25">
      <c r="E1403" s="43">
        <f>COUNTIF($O$7:O1403,FORMULARIO!$AA$2)</f>
        <v>1</v>
      </c>
      <c r="M1403" s="46"/>
      <c r="P1403" s="16"/>
    </row>
    <row r="1404" spans="5:16" hidden="1" x14ac:dyDescent="0.25">
      <c r="E1404" s="43">
        <f>COUNTIF($O$7:O1404,FORMULARIO!$AA$2)</f>
        <v>1</v>
      </c>
      <c r="M1404" s="46"/>
      <c r="P1404" s="16"/>
    </row>
    <row r="1405" spans="5:16" hidden="1" x14ac:dyDescent="0.25">
      <c r="E1405" s="43">
        <f>COUNTIF($O$7:O1405,FORMULARIO!$AA$2)</f>
        <v>1</v>
      </c>
      <c r="M1405" s="46"/>
      <c r="P1405" s="16"/>
    </row>
    <row r="1406" spans="5:16" hidden="1" x14ac:dyDescent="0.25">
      <c r="E1406" s="43">
        <f>COUNTIF($O$7:O1406,FORMULARIO!$AA$2)</f>
        <v>1</v>
      </c>
      <c r="M1406" s="46"/>
      <c r="P1406" s="16"/>
    </row>
    <row r="1407" spans="5:16" hidden="1" x14ac:dyDescent="0.25">
      <c r="E1407" s="43">
        <f>COUNTIF($O$7:O1407,FORMULARIO!$AA$2)</f>
        <v>1</v>
      </c>
      <c r="M1407" s="46"/>
      <c r="P1407" s="16"/>
    </row>
    <row r="1408" spans="5:16" hidden="1" x14ac:dyDescent="0.25">
      <c r="E1408" s="43">
        <f>COUNTIF($O$7:O1408,FORMULARIO!$AA$2)</f>
        <v>1</v>
      </c>
      <c r="M1408" s="46"/>
      <c r="P1408" s="16"/>
    </row>
    <row r="1409" spans="5:16" hidden="1" x14ac:dyDescent="0.25">
      <c r="E1409" s="43">
        <f>COUNTIF($O$7:O1409,FORMULARIO!$AA$2)</f>
        <v>1</v>
      </c>
      <c r="M1409" s="46"/>
      <c r="P1409" s="16"/>
    </row>
    <row r="1410" spans="5:16" hidden="1" x14ac:dyDescent="0.25">
      <c r="E1410" s="43">
        <f>COUNTIF($O$7:O1410,FORMULARIO!$AA$2)</f>
        <v>1</v>
      </c>
      <c r="M1410" s="46"/>
      <c r="P1410" s="16"/>
    </row>
    <row r="1411" spans="5:16" hidden="1" x14ac:dyDescent="0.25">
      <c r="E1411" s="43">
        <f>COUNTIF($O$7:O1411,FORMULARIO!$AA$2)</f>
        <v>1</v>
      </c>
      <c r="M1411" s="46"/>
      <c r="P1411" s="16"/>
    </row>
    <row r="1412" spans="5:16" hidden="1" x14ac:dyDescent="0.25">
      <c r="E1412" s="43">
        <f>COUNTIF($O$7:O1412,FORMULARIO!$AA$2)</f>
        <v>1</v>
      </c>
      <c r="M1412" s="46"/>
      <c r="P1412" s="16"/>
    </row>
    <row r="1413" spans="5:16" hidden="1" x14ac:dyDescent="0.25">
      <c r="E1413" s="43">
        <f>COUNTIF($O$7:O1413,FORMULARIO!$AA$2)</f>
        <v>1</v>
      </c>
      <c r="M1413" s="46"/>
      <c r="P1413" s="16"/>
    </row>
    <row r="1414" spans="5:16" hidden="1" x14ac:dyDescent="0.25">
      <c r="E1414" s="43">
        <f>COUNTIF($O$7:O1414,FORMULARIO!$AA$2)</f>
        <v>1</v>
      </c>
      <c r="M1414" s="46"/>
      <c r="P1414" s="16"/>
    </row>
    <row r="1415" spans="5:16" hidden="1" x14ac:dyDescent="0.25">
      <c r="E1415" s="43">
        <f>COUNTIF($O$7:O1415,FORMULARIO!$AA$2)</f>
        <v>1</v>
      </c>
      <c r="M1415" s="46"/>
      <c r="P1415" s="16"/>
    </row>
    <row r="1416" spans="5:16" hidden="1" x14ac:dyDescent="0.25">
      <c r="E1416" s="43">
        <f>COUNTIF($O$7:O1416,FORMULARIO!$AA$2)</f>
        <v>1</v>
      </c>
      <c r="M1416" s="46"/>
      <c r="P1416" s="16"/>
    </row>
    <row r="1417" spans="5:16" hidden="1" x14ac:dyDescent="0.25">
      <c r="E1417" s="43">
        <f>COUNTIF($O$7:O1417,FORMULARIO!$AA$2)</f>
        <v>1</v>
      </c>
      <c r="M1417" s="46"/>
      <c r="P1417" s="16"/>
    </row>
    <row r="1418" spans="5:16" hidden="1" x14ac:dyDescent="0.25">
      <c r="E1418" s="43">
        <f>COUNTIF($O$7:O1418,FORMULARIO!$AA$2)</f>
        <v>1</v>
      </c>
      <c r="M1418" s="46"/>
      <c r="P1418" s="16"/>
    </row>
    <row r="1419" spans="5:16" hidden="1" x14ac:dyDescent="0.25">
      <c r="E1419" s="43">
        <f>COUNTIF($O$7:O1419,FORMULARIO!$AA$2)</f>
        <v>1</v>
      </c>
      <c r="M1419" s="46"/>
      <c r="P1419" s="16"/>
    </row>
    <row r="1420" spans="5:16" hidden="1" x14ac:dyDescent="0.25">
      <c r="E1420" s="43">
        <f>COUNTIF($O$7:O1420,FORMULARIO!$AA$2)</f>
        <v>1</v>
      </c>
      <c r="M1420" s="46"/>
      <c r="P1420" s="16"/>
    </row>
    <row r="1421" spans="5:16" hidden="1" x14ac:dyDescent="0.25">
      <c r="E1421" s="43">
        <f>COUNTIF($O$7:O1421,FORMULARIO!$AA$2)</f>
        <v>1</v>
      </c>
      <c r="M1421" s="46"/>
      <c r="P1421" s="16"/>
    </row>
    <row r="1422" spans="5:16" hidden="1" x14ac:dyDescent="0.25">
      <c r="E1422" s="43">
        <f>COUNTIF($O$7:O1422,FORMULARIO!$AA$2)</f>
        <v>1</v>
      </c>
      <c r="M1422" s="46"/>
      <c r="P1422" s="16"/>
    </row>
    <row r="1423" spans="5:16" hidden="1" x14ac:dyDescent="0.25">
      <c r="E1423" s="43">
        <f>COUNTIF($O$7:O1423,FORMULARIO!$AA$2)</f>
        <v>1</v>
      </c>
      <c r="M1423" s="46"/>
      <c r="P1423" s="16"/>
    </row>
    <row r="1424" spans="5:16" hidden="1" x14ac:dyDescent="0.25">
      <c r="E1424" s="43">
        <f>COUNTIF($O$7:O1424,FORMULARIO!$AA$2)</f>
        <v>1</v>
      </c>
      <c r="M1424" s="46"/>
      <c r="P1424" s="16"/>
    </row>
    <row r="1425" spans="5:16" hidden="1" x14ac:dyDescent="0.25">
      <c r="E1425" s="43">
        <f>COUNTIF($O$7:O1425,FORMULARIO!$AA$2)</f>
        <v>1</v>
      </c>
      <c r="M1425" s="46"/>
      <c r="P1425" s="16"/>
    </row>
    <row r="1426" spans="5:16" hidden="1" x14ac:dyDescent="0.25">
      <c r="E1426" s="43">
        <f>COUNTIF($O$7:O1426,FORMULARIO!$AA$2)</f>
        <v>1</v>
      </c>
      <c r="M1426" s="46"/>
      <c r="P1426" s="16"/>
    </row>
    <row r="1427" spans="5:16" hidden="1" x14ac:dyDescent="0.25">
      <c r="E1427" s="43">
        <f>COUNTIF($O$7:O1427,FORMULARIO!$AA$2)</f>
        <v>1</v>
      </c>
      <c r="M1427" s="46"/>
      <c r="P1427" s="16"/>
    </row>
    <row r="1428" spans="5:16" hidden="1" x14ac:dyDescent="0.25">
      <c r="E1428" s="43">
        <f>COUNTIF($O$7:O1428,FORMULARIO!$AA$2)</f>
        <v>1</v>
      </c>
      <c r="M1428" s="46"/>
      <c r="P1428" s="16"/>
    </row>
    <row r="1429" spans="5:16" hidden="1" x14ac:dyDescent="0.25">
      <c r="E1429" s="43">
        <f>COUNTIF($O$7:O1429,FORMULARIO!$AA$2)</f>
        <v>1</v>
      </c>
      <c r="M1429" s="46"/>
      <c r="P1429" s="16"/>
    </row>
    <row r="1430" spans="5:16" hidden="1" x14ac:dyDescent="0.25">
      <c r="E1430" s="43">
        <f>COUNTIF($O$7:O1430,FORMULARIO!$AA$2)</f>
        <v>1</v>
      </c>
      <c r="M1430" s="46"/>
      <c r="P1430" s="16"/>
    </row>
    <row r="1431" spans="5:16" hidden="1" x14ac:dyDescent="0.25">
      <c r="E1431" s="43">
        <f>COUNTIF($O$7:O1431,FORMULARIO!$AA$2)</f>
        <v>1</v>
      </c>
      <c r="M1431" s="46"/>
      <c r="P1431" s="16"/>
    </row>
    <row r="1432" spans="5:16" hidden="1" x14ac:dyDescent="0.25">
      <c r="E1432" s="43">
        <f>COUNTIF($O$7:O1432,FORMULARIO!$AA$2)</f>
        <v>1</v>
      </c>
      <c r="M1432" s="46"/>
      <c r="P1432" s="16"/>
    </row>
    <row r="1433" spans="5:16" hidden="1" x14ac:dyDescent="0.25">
      <c r="E1433" s="43">
        <f>COUNTIF($O$7:O1433,FORMULARIO!$AA$2)</f>
        <v>1</v>
      </c>
      <c r="M1433" s="46"/>
      <c r="P1433" s="16"/>
    </row>
    <row r="1434" spans="5:16" hidden="1" x14ac:dyDescent="0.25">
      <c r="E1434" s="43">
        <f>COUNTIF($O$7:O1434,FORMULARIO!$AA$2)</f>
        <v>1</v>
      </c>
      <c r="M1434" s="46"/>
      <c r="P1434" s="16"/>
    </row>
    <row r="1435" spans="5:16" hidden="1" x14ac:dyDescent="0.25">
      <c r="E1435" s="43">
        <f>COUNTIF($O$7:O1435,FORMULARIO!$AA$2)</f>
        <v>1</v>
      </c>
      <c r="M1435" s="46"/>
      <c r="P1435" s="16"/>
    </row>
    <row r="1436" spans="5:16" hidden="1" x14ac:dyDescent="0.25">
      <c r="E1436" s="43">
        <f>COUNTIF($O$7:O1436,FORMULARIO!$AA$2)</f>
        <v>1</v>
      </c>
      <c r="M1436" s="46"/>
      <c r="P1436" s="16"/>
    </row>
    <row r="1437" spans="5:16" hidden="1" x14ac:dyDescent="0.25">
      <c r="E1437" s="43">
        <f>COUNTIF($O$7:O1437,FORMULARIO!$AA$2)</f>
        <v>1</v>
      </c>
      <c r="M1437" s="46"/>
      <c r="P1437" s="16"/>
    </row>
    <row r="1438" spans="5:16" hidden="1" x14ac:dyDescent="0.25">
      <c r="E1438" s="43">
        <f>COUNTIF($O$7:O1438,FORMULARIO!$AA$2)</f>
        <v>1</v>
      </c>
      <c r="M1438" s="46"/>
      <c r="P1438" s="16"/>
    </row>
    <row r="1439" spans="5:16" hidden="1" x14ac:dyDescent="0.25">
      <c r="E1439" s="43">
        <f>COUNTIF($O$7:O1439,FORMULARIO!$AA$2)</f>
        <v>1</v>
      </c>
      <c r="M1439" s="46"/>
      <c r="P1439" s="16"/>
    </row>
    <row r="1440" spans="5:16" hidden="1" x14ac:dyDescent="0.25">
      <c r="E1440" s="43">
        <f>COUNTIF($O$7:O1440,FORMULARIO!$AA$2)</f>
        <v>1</v>
      </c>
      <c r="M1440" s="46"/>
      <c r="P1440" s="16"/>
    </row>
    <row r="1441" spans="5:16" hidden="1" x14ac:dyDescent="0.25">
      <c r="E1441" s="43">
        <f>COUNTIF($O$7:O1441,FORMULARIO!$AA$2)</f>
        <v>1</v>
      </c>
      <c r="M1441" s="46"/>
      <c r="P1441" s="16"/>
    </row>
    <row r="1442" spans="5:16" hidden="1" x14ac:dyDescent="0.25">
      <c r="E1442" s="43">
        <f>COUNTIF($O$7:O1442,FORMULARIO!$AA$2)</f>
        <v>1</v>
      </c>
      <c r="M1442" s="46"/>
      <c r="P1442" s="16"/>
    </row>
    <row r="1443" spans="5:16" hidden="1" x14ac:dyDescent="0.25">
      <c r="E1443" s="43">
        <f>COUNTIF($O$7:O1443,FORMULARIO!$AA$2)</f>
        <v>1</v>
      </c>
      <c r="M1443" s="46"/>
      <c r="P1443" s="16"/>
    </row>
    <row r="1444" spans="5:16" hidden="1" x14ac:dyDescent="0.25">
      <c r="E1444" s="43">
        <f>COUNTIF($O$7:O1444,FORMULARIO!$AA$2)</f>
        <v>1</v>
      </c>
      <c r="M1444" s="46"/>
      <c r="P1444" s="16"/>
    </row>
    <row r="1445" spans="5:16" hidden="1" x14ac:dyDescent="0.25">
      <c r="E1445" s="43">
        <f>COUNTIF($O$7:O1445,FORMULARIO!$AA$2)</f>
        <v>1</v>
      </c>
      <c r="M1445" s="46"/>
      <c r="P1445" s="16"/>
    </row>
    <row r="1446" spans="5:16" hidden="1" x14ac:dyDescent="0.25">
      <c r="E1446" s="43">
        <f>COUNTIF($O$7:O1446,FORMULARIO!$AA$2)</f>
        <v>1</v>
      </c>
      <c r="M1446" s="46"/>
      <c r="P1446" s="16"/>
    </row>
    <row r="1447" spans="5:16" hidden="1" x14ac:dyDescent="0.25">
      <c r="E1447" s="43">
        <f>COUNTIF($O$7:O1447,FORMULARIO!$AA$2)</f>
        <v>1</v>
      </c>
      <c r="M1447" s="46"/>
      <c r="P1447" s="16"/>
    </row>
    <row r="1448" spans="5:16" hidden="1" x14ac:dyDescent="0.25">
      <c r="E1448" s="43">
        <f>COUNTIF($O$7:O1448,FORMULARIO!$AA$2)</f>
        <v>1</v>
      </c>
      <c r="M1448" s="46"/>
      <c r="P1448" s="16"/>
    </row>
    <row r="1449" spans="5:16" hidden="1" x14ac:dyDescent="0.25">
      <c r="E1449" s="43">
        <f>COUNTIF($O$7:O1449,FORMULARIO!$AA$2)</f>
        <v>1</v>
      </c>
      <c r="M1449" s="46"/>
      <c r="P1449" s="16"/>
    </row>
    <row r="1450" spans="5:16" hidden="1" x14ac:dyDescent="0.25">
      <c r="E1450" s="43">
        <f>COUNTIF($O$7:O1450,FORMULARIO!$AA$2)</f>
        <v>1</v>
      </c>
      <c r="M1450" s="46"/>
      <c r="P1450" s="16"/>
    </row>
    <row r="1451" spans="5:16" hidden="1" x14ac:dyDescent="0.25">
      <c r="E1451" s="43">
        <f>COUNTIF($O$7:O1451,FORMULARIO!$AA$2)</f>
        <v>1</v>
      </c>
      <c r="M1451" s="46"/>
      <c r="P1451" s="16"/>
    </row>
    <row r="1452" spans="5:16" hidden="1" x14ac:dyDescent="0.25">
      <c r="E1452" s="43">
        <f>COUNTIF($O$7:O1452,FORMULARIO!$AA$2)</f>
        <v>1</v>
      </c>
      <c r="M1452" s="46"/>
      <c r="P1452" s="16"/>
    </row>
    <row r="1453" spans="5:16" hidden="1" x14ac:dyDescent="0.25">
      <c r="E1453" s="43">
        <f>COUNTIF($O$7:O1453,FORMULARIO!$AA$2)</f>
        <v>1</v>
      </c>
      <c r="M1453" s="46"/>
      <c r="P1453" s="16"/>
    </row>
    <row r="1454" spans="5:16" hidden="1" x14ac:dyDescent="0.25">
      <c r="E1454" s="43">
        <f>COUNTIF($O$7:O1454,FORMULARIO!$AA$2)</f>
        <v>1</v>
      </c>
      <c r="M1454" s="46"/>
      <c r="P1454" s="16"/>
    </row>
    <row r="1455" spans="5:16" hidden="1" x14ac:dyDescent="0.25">
      <c r="E1455" s="43">
        <f>COUNTIF($O$7:O1455,FORMULARIO!$AA$2)</f>
        <v>1</v>
      </c>
      <c r="M1455" s="46"/>
      <c r="P1455" s="16"/>
    </row>
    <row r="1456" spans="5:16" hidden="1" x14ac:dyDescent="0.25">
      <c r="E1456" s="43">
        <f>COUNTIF($O$7:O1456,FORMULARIO!$AA$2)</f>
        <v>1</v>
      </c>
      <c r="M1456" s="46"/>
      <c r="P1456" s="16"/>
    </row>
    <row r="1457" spans="5:16" hidden="1" x14ac:dyDescent="0.25">
      <c r="E1457" s="43">
        <f>COUNTIF($O$7:O1457,FORMULARIO!$AA$2)</f>
        <v>1</v>
      </c>
      <c r="M1457" s="46"/>
      <c r="P1457" s="16"/>
    </row>
    <row r="1458" spans="5:16" hidden="1" x14ac:dyDescent="0.25">
      <c r="E1458" s="43">
        <f>COUNTIF($O$7:O1458,FORMULARIO!$AA$2)</f>
        <v>1</v>
      </c>
      <c r="M1458" s="46"/>
      <c r="P1458" s="16"/>
    </row>
    <row r="1459" spans="5:16" hidden="1" x14ac:dyDescent="0.25">
      <c r="E1459" s="43">
        <f>COUNTIF($O$7:O1459,FORMULARIO!$AA$2)</f>
        <v>1</v>
      </c>
      <c r="M1459" s="46"/>
      <c r="P1459" s="16"/>
    </row>
    <row r="1460" spans="5:16" hidden="1" x14ac:dyDescent="0.25">
      <c r="E1460" s="43">
        <f>COUNTIF($O$7:O1460,FORMULARIO!$AA$2)</f>
        <v>1</v>
      </c>
      <c r="M1460" s="46"/>
      <c r="P1460" s="16"/>
    </row>
    <row r="1461" spans="5:16" hidden="1" x14ac:dyDescent="0.25">
      <c r="E1461" s="43">
        <f>COUNTIF($O$7:O1461,FORMULARIO!$AA$2)</f>
        <v>1</v>
      </c>
      <c r="M1461" s="46"/>
      <c r="P1461" s="16"/>
    </row>
    <row r="1462" spans="5:16" hidden="1" x14ac:dyDescent="0.25">
      <c r="E1462" s="43">
        <f>COUNTIF($O$7:O1462,FORMULARIO!$AA$2)</f>
        <v>1</v>
      </c>
      <c r="M1462" s="46"/>
      <c r="P1462" s="16"/>
    </row>
    <row r="1463" spans="5:16" hidden="1" x14ac:dyDescent="0.25">
      <c r="E1463" s="43">
        <f>COUNTIF($O$7:O1463,FORMULARIO!$AA$2)</f>
        <v>1</v>
      </c>
      <c r="M1463" s="46"/>
      <c r="P1463" s="16"/>
    </row>
    <row r="1464" spans="5:16" hidden="1" x14ac:dyDescent="0.25">
      <c r="E1464" s="43">
        <f>COUNTIF($O$7:O1464,FORMULARIO!$AA$2)</f>
        <v>1</v>
      </c>
      <c r="M1464" s="46"/>
      <c r="P1464" s="16"/>
    </row>
    <row r="1465" spans="5:16" hidden="1" x14ac:dyDescent="0.25">
      <c r="E1465" s="43">
        <f>COUNTIF($O$7:O1465,FORMULARIO!$AA$2)</f>
        <v>1</v>
      </c>
      <c r="M1465" s="46"/>
      <c r="P1465" s="16"/>
    </row>
    <row r="1466" spans="5:16" hidden="1" x14ac:dyDescent="0.25">
      <c r="E1466" s="43">
        <f>COUNTIF($O$7:O1466,FORMULARIO!$AA$2)</f>
        <v>1</v>
      </c>
      <c r="M1466" s="46"/>
      <c r="P1466" s="16"/>
    </row>
    <row r="1467" spans="5:16" hidden="1" x14ac:dyDescent="0.25">
      <c r="E1467" s="43">
        <f>COUNTIF($O$7:O1467,FORMULARIO!$AA$2)</f>
        <v>1</v>
      </c>
      <c r="M1467" s="46"/>
      <c r="P1467" s="16"/>
    </row>
    <row r="1468" spans="5:16" hidden="1" x14ac:dyDescent="0.25">
      <c r="E1468" s="43">
        <f>COUNTIF($O$7:O1468,FORMULARIO!$AA$2)</f>
        <v>1</v>
      </c>
      <c r="M1468" s="46"/>
      <c r="P1468" s="16"/>
    </row>
    <row r="1469" spans="5:16" hidden="1" x14ac:dyDescent="0.25">
      <c r="E1469" s="43">
        <f>COUNTIF($O$7:O1469,FORMULARIO!$AA$2)</f>
        <v>1</v>
      </c>
      <c r="M1469" s="46"/>
      <c r="P1469" s="16"/>
    </row>
    <row r="1470" spans="5:16" hidden="1" x14ac:dyDescent="0.25">
      <c r="E1470" s="43">
        <f>COUNTIF($O$7:O1470,FORMULARIO!$AA$2)</f>
        <v>1</v>
      </c>
      <c r="M1470" s="46"/>
      <c r="P1470" s="16"/>
    </row>
    <row r="1471" spans="5:16" hidden="1" x14ac:dyDescent="0.25">
      <c r="E1471" s="43">
        <f>COUNTIF($O$7:O1471,FORMULARIO!$AA$2)</f>
        <v>1</v>
      </c>
      <c r="M1471" s="46"/>
      <c r="P1471" s="16"/>
    </row>
    <row r="1472" spans="5:16" hidden="1" x14ac:dyDescent="0.25">
      <c r="E1472" s="43">
        <f>COUNTIF($O$7:O1472,FORMULARIO!$AA$2)</f>
        <v>1</v>
      </c>
      <c r="M1472" s="46"/>
      <c r="P1472" s="16"/>
    </row>
    <row r="1473" spans="5:16" hidden="1" x14ac:dyDescent="0.25">
      <c r="E1473" s="43">
        <f>COUNTIF($O$7:O1473,FORMULARIO!$AA$2)</f>
        <v>1</v>
      </c>
      <c r="M1473" s="46"/>
      <c r="P1473" s="16"/>
    </row>
    <row r="1474" spans="5:16" hidden="1" x14ac:dyDescent="0.25">
      <c r="E1474" s="43">
        <f>COUNTIF($O$7:O1474,FORMULARIO!$AA$2)</f>
        <v>1</v>
      </c>
      <c r="M1474" s="46"/>
      <c r="P1474" s="16"/>
    </row>
    <row r="1475" spans="5:16" hidden="1" x14ac:dyDescent="0.25">
      <c r="E1475" s="43">
        <f>COUNTIF($O$7:O1475,FORMULARIO!$AA$2)</f>
        <v>1</v>
      </c>
      <c r="M1475" s="46"/>
      <c r="P1475" s="16"/>
    </row>
    <row r="1476" spans="5:16" hidden="1" x14ac:dyDescent="0.25">
      <c r="E1476" s="43">
        <f>COUNTIF($O$7:O1476,FORMULARIO!$AA$2)</f>
        <v>1</v>
      </c>
      <c r="M1476" s="46"/>
      <c r="P1476" s="16"/>
    </row>
    <row r="1477" spans="5:16" hidden="1" x14ac:dyDescent="0.25">
      <c r="E1477" s="43">
        <f>COUNTIF($O$7:O1477,FORMULARIO!$AA$2)</f>
        <v>1</v>
      </c>
      <c r="M1477" s="46"/>
      <c r="P1477" s="16"/>
    </row>
    <row r="1478" spans="5:16" hidden="1" x14ac:dyDescent="0.25">
      <c r="E1478" s="43">
        <f>COUNTIF($O$7:O1478,FORMULARIO!$AA$2)</f>
        <v>1</v>
      </c>
      <c r="M1478" s="46"/>
      <c r="P1478" s="16"/>
    </row>
    <row r="1479" spans="5:16" hidden="1" x14ac:dyDescent="0.25">
      <c r="E1479" s="43">
        <f>COUNTIF($O$7:O1479,FORMULARIO!$AA$2)</f>
        <v>1</v>
      </c>
      <c r="M1479" s="46"/>
      <c r="P1479" s="16"/>
    </row>
    <row r="1480" spans="5:16" hidden="1" x14ac:dyDescent="0.25">
      <c r="E1480" s="43">
        <f>COUNTIF($O$7:O1480,FORMULARIO!$AA$2)</f>
        <v>1</v>
      </c>
      <c r="M1480" s="46"/>
      <c r="P1480" s="16"/>
    </row>
    <row r="1481" spans="5:16" hidden="1" x14ac:dyDescent="0.25">
      <c r="E1481" s="43">
        <f>COUNTIF($O$7:O1481,FORMULARIO!$AA$2)</f>
        <v>1</v>
      </c>
      <c r="M1481" s="46"/>
      <c r="P1481" s="16"/>
    </row>
    <row r="1482" spans="5:16" hidden="1" x14ac:dyDescent="0.25">
      <c r="E1482" s="43">
        <f>COUNTIF($O$7:O1482,FORMULARIO!$AA$2)</f>
        <v>1</v>
      </c>
      <c r="M1482" s="46"/>
      <c r="P1482" s="16"/>
    </row>
    <row r="1483" spans="5:16" hidden="1" x14ac:dyDescent="0.25">
      <c r="E1483" s="43">
        <f>COUNTIF($O$7:O1483,FORMULARIO!$AA$2)</f>
        <v>1</v>
      </c>
      <c r="M1483" s="46"/>
      <c r="P1483" s="16"/>
    </row>
    <row r="1484" spans="5:16" hidden="1" x14ac:dyDescent="0.25">
      <c r="E1484" s="43">
        <f>COUNTIF($O$7:O1484,FORMULARIO!$AA$2)</f>
        <v>1</v>
      </c>
      <c r="M1484" s="46"/>
      <c r="P1484" s="16"/>
    </row>
    <row r="1485" spans="5:16" hidden="1" x14ac:dyDescent="0.25">
      <c r="E1485" s="43">
        <f>COUNTIF($O$7:O1485,FORMULARIO!$AA$2)</f>
        <v>1</v>
      </c>
      <c r="M1485" s="46"/>
      <c r="P1485" s="16"/>
    </row>
    <row r="1486" spans="5:16" hidden="1" x14ac:dyDescent="0.25">
      <c r="E1486" s="43">
        <f>COUNTIF($O$7:O1486,FORMULARIO!$AA$2)</f>
        <v>1</v>
      </c>
      <c r="M1486" s="46"/>
      <c r="P1486" s="16"/>
    </row>
    <row r="1487" spans="5:16" hidden="1" x14ac:dyDescent="0.25">
      <c r="E1487" s="43">
        <f>COUNTIF($O$7:O1487,FORMULARIO!$AA$2)</f>
        <v>1</v>
      </c>
      <c r="M1487" s="46"/>
      <c r="P1487" s="16"/>
    </row>
    <row r="1488" spans="5:16" hidden="1" x14ac:dyDescent="0.25">
      <c r="E1488" s="43">
        <f>COUNTIF($O$7:O1488,FORMULARIO!$AA$2)</f>
        <v>1</v>
      </c>
      <c r="M1488" s="46"/>
      <c r="P1488" s="16"/>
    </row>
    <row r="1489" spans="5:16" hidden="1" x14ac:dyDescent="0.25">
      <c r="E1489" s="43">
        <f>COUNTIF($O$7:O1489,FORMULARIO!$AA$2)</f>
        <v>1</v>
      </c>
      <c r="M1489" s="46"/>
      <c r="P1489" s="16"/>
    </row>
    <row r="1490" spans="5:16" hidden="1" x14ac:dyDescent="0.25">
      <c r="E1490" s="43">
        <f>COUNTIF($O$7:O1490,FORMULARIO!$AA$2)</f>
        <v>1</v>
      </c>
      <c r="M1490" s="46"/>
      <c r="P1490" s="16"/>
    </row>
    <row r="1491" spans="5:16" hidden="1" x14ac:dyDescent="0.25">
      <c r="E1491" s="43">
        <f>COUNTIF($O$7:O1491,FORMULARIO!$AA$2)</f>
        <v>1</v>
      </c>
      <c r="M1491" s="46"/>
      <c r="P1491" s="16"/>
    </row>
    <row r="1492" spans="5:16" hidden="1" x14ac:dyDescent="0.25">
      <c r="E1492" s="43">
        <f>COUNTIF($O$7:O1492,FORMULARIO!$AA$2)</f>
        <v>1</v>
      </c>
      <c r="M1492" s="46"/>
      <c r="P1492" s="16"/>
    </row>
    <row r="1493" spans="5:16" hidden="1" x14ac:dyDescent="0.25">
      <c r="E1493" s="43">
        <f>COUNTIF($O$7:O1493,FORMULARIO!$AA$2)</f>
        <v>1</v>
      </c>
      <c r="M1493" s="46"/>
      <c r="P1493" s="16"/>
    </row>
    <row r="1494" spans="5:16" hidden="1" x14ac:dyDescent="0.25">
      <c r="E1494" s="43">
        <f>COUNTIF($O$7:O1494,FORMULARIO!$AA$2)</f>
        <v>1</v>
      </c>
      <c r="M1494" s="46"/>
      <c r="P1494" s="16"/>
    </row>
    <row r="1495" spans="5:16" hidden="1" x14ac:dyDescent="0.25">
      <c r="E1495" s="43">
        <f>COUNTIF($O$7:O1495,FORMULARIO!$AA$2)</f>
        <v>1</v>
      </c>
      <c r="M1495" s="46"/>
      <c r="P1495" s="16"/>
    </row>
    <row r="1496" spans="5:16" hidden="1" x14ac:dyDescent="0.25">
      <c r="E1496" s="43">
        <f>COUNTIF($O$7:O1496,FORMULARIO!$AA$2)</f>
        <v>1</v>
      </c>
      <c r="M1496" s="46"/>
      <c r="P1496" s="16"/>
    </row>
    <row r="1497" spans="5:16" hidden="1" x14ac:dyDescent="0.25">
      <c r="E1497" s="43">
        <f>COUNTIF($O$7:O1497,FORMULARIO!$AA$2)</f>
        <v>1</v>
      </c>
      <c r="M1497" s="46"/>
      <c r="P1497" s="16"/>
    </row>
    <row r="1498" spans="5:16" hidden="1" x14ac:dyDescent="0.25">
      <c r="E1498" s="43">
        <f>COUNTIF($O$7:O1498,FORMULARIO!$AA$2)</f>
        <v>1</v>
      </c>
      <c r="M1498" s="46"/>
      <c r="P1498" s="16"/>
    </row>
    <row r="1499" spans="5:16" hidden="1" x14ac:dyDescent="0.25">
      <c r="E1499" s="43">
        <f>COUNTIF($O$7:O1499,FORMULARIO!$AA$2)</f>
        <v>1</v>
      </c>
      <c r="M1499" s="46"/>
      <c r="P1499" s="16"/>
    </row>
    <row r="1500" spans="5:16" hidden="1" x14ac:dyDescent="0.25">
      <c r="E1500" s="43">
        <f>COUNTIF($O$7:O1500,FORMULARIO!$AA$2)</f>
        <v>1</v>
      </c>
      <c r="M1500" s="46"/>
      <c r="P1500" s="16"/>
    </row>
    <row r="1501" spans="5:16" hidden="1" x14ac:dyDescent="0.25">
      <c r="E1501" s="43">
        <f>COUNTIF($O$7:O1501,FORMULARIO!$AA$2)</f>
        <v>1</v>
      </c>
      <c r="M1501" s="46"/>
      <c r="P1501" s="16"/>
    </row>
    <row r="1502" spans="5:16" hidden="1" x14ac:dyDescent="0.25">
      <c r="E1502" s="43">
        <f>COUNTIF($O$7:O1502,FORMULARIO!$AA$2)</f>
        <v>1</v>
      </c>
      <c r="M1502" s="46"/>
      <c r="P1502" s="16"/>
    </row>
    <row r="1503" spans="5:16" hidden="1" x14ac:dyDescent="0.25">
      <c r="E1503" s="43">
        <f>COUNTIF($O$7:O1503,FORMULARIO!$AA$2)</f>
        <v>1</v>
      </c>
      <c r="M1503" s="46"/>
      <c r="P1503" s="16"/>
    </row>
    <row r="1504" spans="5:16" hidden="1" x14ac:dyDescent="0.25">
      <c r="E1504" s="43">
        <f>COUNTIF($O$7:O1504,FORMULARIO!$AA$2)</f>
        <v>1</v>
      </c>
      <c r="M1504" s="46"/>
      <c r="P1504" s="16"/>
    </row>
    <row r="1505" spans="5:16" hidden="1" x14ac:dyDescent="0.25">
      <c r="E1505" s="43">
        <f>COUNTIF($O$7:O1505,FORMULARIO!$AA$2)</f>
        <v>1</v>
      </c>
      <c r="M1505" s="46"/>
      <c r="P1505" s="16"/>
    </row>
    <row r="1506" spans="5:16" hidden="1" x14ac:dyDescent="0.25">
      <c r="E1506" s="43">
        <f>COUNTIF($O$7:O1506,FORMULARIO!$AA$2)</f>
        <v>1</v>
      </c>
      <c r="M1506" s="46"/>
      <c r="P1506" s="16"/>
    </row>
    <row r="1507" spans="5:16" hidden="1" x14ac:dyDescent="0.25">
      <c r="E1507" s="43">
        <f>COUNTIF($O$7:O1507,FORMULARIO!$AA$2)</f>
        <v>1</v>
      </c>
      <c r="M1507" s="46"/>
      <c r="P1507" s="16"/>
    </row>
    <row r="1508" spans="5:16" hidden="1" x14ac:dyDescent="0.25">
      <c r="E1508" s="43">
        <f>COUNTIF($O$7:O1508,FORMULARIO!$AA$2)</f>
        <v>1</v>
      </c>
      <c r="M1508" s="46"/>
      <c r="P1508" s="16"/>
    </row>
    <row r="1509" spans="5:16" hidden="1" x14ac:dyDescent="0.25">
      <c r="E1509" s="43">
        <f>COUNTIF($O$7:O1509,FORMULARIO!$AA$2)</f>
        <v>1</v>
      </c>
      <c r="M1509" s="46"/>
      <c r="P1509" s="16"/>
    </row>
    <row r="1510" spans="5:16" hidden="1" x14ac:dyDescent="0.25">
      <c r="E1510" s="43">
        <f>COUNTIF($O$7:O1510,FORMULARIO!$AA$2)</f>
        <v>1</v>
      </c>
      <c r="M1510" s="46"/>
      <c r="P1510" s="16"/>
    </row>
    <row r="1511" spans="5:16" hidden="1" x14ac:dyDescent="0.25">
      <c r="E1511" s="43">
        <f>COUNTIF($O$7:O1511,FORMULARIO!$AA$2)</f>
        <v>1</v>
      </c>
      <c r="M1511" s="46"/>
      <c r="P1511" s="16"/>
    </row>
    <row r="1512" spans="5:16" hidden="1" x14ac:dyDescent="0.25">
      <c r="E1512" s="43">
        <f>COUNTIF($O$7:O1512,FORMULARIO!$AA$2)</f>
        <v>1</v>
      </c>
      <c r="M1512" s="46"/>
      <c r="P1512" s="16"/>
    </row>
    <row r="1513" spans="5:16" hidden="1" x14ac:dyDescent="0.25">
      <c r="E1513" s="43">
        <f>COUNTIF($O$7:O1513,FORMULARIO!$AA$2)</f>
        <v>1</v>
      </c>
      <c r="M1513" s="46"/>
      <c r="P1513" s="16"/>
    </row>
    <row r="1514" spans="5:16" hidden="1" x14ac:dyDescent="0.25">
      <c r="E1514" s="43">
        <f>COUNTIF($O$7:O1514,FORMULARIO!$AA$2)</f>
        <v>1</v>
      </c>
      <c r="M1514" s="46"/>
      <c r="P1514" s="16"/>
    </row>
    <row r="1515" spans="5:16" hidden="1" x14ac:dyDescent="0.25">
      <c r="E1515" s="43">
        <f>COUNTIF($O$7:O1515,FORMULARIO!$AA$2)</f>
        <v>1</v>
      </c>
      <c r="M1515" s="46"/>
      <c r="P1515" s="16"/>
    </row>
    <row r="1516" spans="5:16" hidden="1" x14ac:dyDescent="0.25">
      <c r="E1516" s="43">
        <f>COUNTIF($O$7:O1516,FORMULARIO!$AA$2)</f>
        <v>1</v>
      </c>
      <c r="M1516" s="46"/>
      <c r="P1516" s="16"/>
    </row>
    <row r="1517" spans="5:16" hidden="1" x14ac:dyDescent="0.25">
      <c r="E1517" s="43">
        <f>COUNTIF($O$7:O1517,FORMULARIO!$AA$2)</f>
        <v>1</v>
      </c>
      <c r="M1517" s="46"/>
      <c r="P1517" s="16"/>
    </row>
    <row r="1518" spans="5:16" hidden="1" x14ac:dyDescent="0.25">
      <c r="E1518" s="43">
        <f>COUNTIF($O$7:O1518,FORMULARIO!$AA$2)</f>
        <v>1</v>
      </c>
      <c r="M1518" s="46"/>
      <c r="P1518" s="16"/>
    </row>
    <row r="1519" spans="5:16" hidden="1" x14ac:dyDescent="0.25">
      <c r="E1519" s="43">
        <f>COUNTIF($O$7:O1519,FORMULARIO!$AA$2)</f>
        <v>1</v>
      </c>
      <c r="M1519" s="46"/>
      <c r="P1519" s="16"/>
    </row>
    <row r="1520" spans="5:16" hidden="1" x14ac:dyDescent="0.25">
      <c r="E1520" s="43">
        <f>COUNTIF($O$7:O1520,FORMULARIO!$AA$2)</f>
        <v>1</v>
      </c>
      <c r="M1520" s="46"/>
      <c r="P1520" s="16"/>
    </row>
    <row r="1521" spans="5:16" hidden="1" x14ac:dyDescent="0.25">
      <c r="E1521" s="43">
        <f>COUNTIF($O$7:O1521,FORMULARIO!$AA$2)</f>
        <v>1</v>
      </c>
      <c r="M1521" s="46"/>
      <c r="P1521" s="16"/>
    </row>
    <row r="1522" spans="5:16" hidden="1" x14ac:dyDescent="0.25">
      <c r="E1522" s="43">
        <f>COUNTIF($O$7:O1522,FORMULARIO!$AA$2)</f>
        <v>1</v>
      </c>
      <c r="M1522" s="46"/>
      <c r="P1522" s="16"/>
    </row>
    <row r="1523" spans="5:16" hidden="1" x14ac:dyDescent="0.25">
      <c r="E1523" s="43">
        <f>COUNTIF($O$7:O1523,FORMULARIO!$AA$2)</f>
        <v>1</v>
      </c>
      <c r="M1523" s="46"/>
      <c r="P1523" s="16"/>
    </row>
    <row r="1524" spans="5:16" hidden="1" x14ac:dyDescent="0.25">
      <c r="E1524" s="43">
        <f>COUNTIF($O$7:O1524,FORMULARIO!$AA$2)</f>
        <v>1</v>
      </c>
      <c r="M1524" s="46"/>
      <c r="P1524" s="16"/>
    </row>
    <row r="1525" spans="5:16" hidden="1" x14ac:dyDescent="0.25">
      <c r="E1525" s="43">
        <f>COUNTIF($O$7:O1525,FORMULARIO!$AA$2)</f>
        <v>1</v>
      </c>
      <c r="M1525" s="46"/>
      <c r="P1525" s="16"/>
    </row>
    <row r="1526" spans="5:16" hidden="1" x14ac:dyDescent="0.25">
      <c r="E1526" s="43">
        <f>COUNTIF($O$7:O1526,FORMULARIO!$AA$2)</f>
        <v>1</v>
      </c>
      <c r="M1526" s="46"/>
      <c r="P1526" s="16"/>
    </row>
    <row r="1527" spans="5:16" hidden="1" x14ac:dyDescent="0.25">
      <c r="E1527" s="43">
        <f>COUNTIF($O$7:O1527,FORMULARIO!$AA$2)</f>
        <v>1</v>
      </c>
      <c r="M1527" s="46"/>
      <c r="P1527" s="16"/>
    </row>
    <row r="1528" spans="5:16" hidden="1" x14ac:dyDescent="0.25">
      <c r="E1528" s="43">
        <f>COUNTIF($O$7:O1528,FORMULARIO!$AA$2)</f>
        <v>1</v>
      </c>
      <c r="M1528" s="46"/>
      <c r="P1528" s="16"/>
    </row>
    <row r="1529" spans="5:16" hidden="1" x14ac:dyDescent="0.25">
      <c r="E1529" s="43">
        <f>COUNTIF($O$7:O1529,FORMULARIO!$AA$2)</f>
        <v>1</v>
      </c>
      <c r="M1529" s="46"/>
      <c r="P1529" s="16"/>
    </row>
    <row r="1530" spans="5:16" hidden="1" x14ac:dyDescent="0.25">
      <c r="E1530" s="43">
        <f>COUNTIF($O$7:O1530,FORMULARIO!$AA$2)</f>
        <v>1</v>
      </c>
      <c r="M1530" s="46"/>
      <c r="P1530" s="16"/>
    </row>
    <row r="1531" spans="5:16" hidden="1" x14ac:dyDescent="0.25">
      <c r="E1531" s="43">
        <f>COUNTIF($O$7:O1531,FORMULARIO!$AA$2)</f>
        <v>1</v>
      </c>
      <c r="M1531" s="46"/>
      <c r="P1531" s="16"/>
    </row>
    <row r="1532" spans="5:16" hidden="1" x14ac:dyDescent="0.25">
      <c r="E1532" s="43">
        <f>COUNTIF($O$7:O1532,FORMULARIO!$AA$2)</f>
        <v>1</v>
      </c>
      <c r="M1532" s="46"/>
      <c r="P1532" s="16"/>
    </row>
    <row r="1533" spans="5:16" hidden="1" x14ac:dyDescent="0.25">
      <c r="E1533" s="43">
        <f>COUNTIF($O$7:O1533,FORMULARIO!$AA$2)</f>
        <v>1</v>
      </c>
      <c r="M1533" s="46"/>
      <c r="P1533" s="16"/>
    </row>
    <row r="1534" spans="5:16" hidden="1" x14ac:dyDescent="0.25">
      <c r="E1534" s="43">
        <f>COUNTIF($O$7:O1534,FORMULARIO!$AA$2)</f>
        <v>1</v>
      </c>
      <c r="M1534" s="46"/>
      <c r="P1534" s="16"/>
    </row>
    <row r="1535" spans="5:16" hidden="1" x14ac:dyDescent="0.25">
      <c r="E1535" s="43">
        <f>COUNTIF($O$7:O1535,FORMULARIO!$AA$2)</f>
        <v>1</v>
      </c>
      <c r="M1535" s="46"/>
      <c r="P1535" s="16"/>
    </row>
    <row r="1536" spans="5:16" hidden="1" x14ac:dyDescent="0.25">
      <c r="E1536" s="43">
        <f>COUNTIF($O$7:O1536,FORMULARIO!$AA$2)</f>
        <v>1</v>
      </c>
      <c r="M1536" s="46"/>
      <c r="P1536" s="16"/>
    </row>
    <row r="1537" spans="5:16" hidden="1" x14ac:dyDescent="0.25">
      <c r="E1537" s="43">
        <f>COUNTIF($O$7:O1537,FORMULARIO!$AA$2)</f>
        <v>1</v>
      </c>
      <c r="M1537" s="46"/>
      <c r="P1537" s="16"/>
    </row>
    <row r="1538" spans="5:16" hidden="1" x14ac:dyDescent="0.25">
      <c r="E1538" s="43">
        <f>COUNTIF($O$7:O1538,FORMULARIO!$AA$2)</f>
        <v>1</v>
      </c>
      <c r="M1538" s="46"/>
      <c r="P1538" s="16"/>
    </row>
    <row r="1539" spans="5:16" hidden="1" x14ac:dyDescent="0.25">
      <c r="E1539" s="43">
        <f>COUNTIF($O$7:O1539,FORMULARIO!$AA$2)</f>
        <v>1</v>
      </c>
      <c r="M1539" s="46"/>
      <c r="P1539" s="16"/>
    </row>
    <row r="1540" spans="5:16" hidden="1" x14ac:dyDescent="0.25">
      <c r="E1540" s="43">
        <f>COUNTIF($O$7:O1540,FORMULARIO!$AA$2)</f>
        <v>1</v>
      </c>
      <c r="M1540" s="46"/>
      <c r="P1540" s="16"/>
    </row>
    <row r="1541" spans="5:16" hidden="1" x14ac:dyDescent="0.25">
      <c r="E1541" s="43">
        <f>COUNTIF($O$7:O1541,FORMULARIO!$AA$2)</f>
        <v>1</v>
      </c>
      <c r="M1541" s="46"/>
      <c r="P1541" s="16"/>
    </row>
    <row r="1542" spans="5:16" hidden="1" x14ac:dyDescent="0.25">
      <c r="E1542" s="43">
        <f>COUNTIF($O$7:O1542,FORMULARIO!$AA$2)</f>
        <v>1</v>
      </c>
      <c r="M1542" s="46"/>
      <c r="P1542" s="16"/>
    </row>
    <row r="1543" spans="5:16" hidden="1" x14ac:dyDescent="0.25">
      <c r="E1543" s="43">
        <f>COUNTIF($O$7:O1543,FORMULARIO!$AA$2)</f>
        <v>1</v>
      </c>
      <c r="M1543" s="46"/>
      <c r="P1543" s="16"/>
    </row>
    <row r="1544" spans="5:16" hidden="1" x14ac:dyDescent="0.25">
      <c r="E1544" s="43">
        <f>COUNTIF($O$7:O1544,FORMULARIO!$AA$2)</f>
        <v>1</v>
      </c>
      <c r="M1544" s="46"/>
      <c r="P1544" s="16"/>
    </row>
    <row r="1545" spans="5:16" hidden="1" x14ac:dyDescent="0.25">
      <c r="E1545" s="43">
        <f>COUNTIF($O$7:O1545,FORMULARIO!$AA$2)</f>
        <v>1</v>
      </c>
      <c r="M1545" s="46"/>
      <c r="P1545" s="16"/>
    </row>
    <row r="1546" spans="5:16" hidden="1" x14ac:dyDescent="0.25">
      <c r="E1546" s="43">
        <f>COUNTIF($O$7:O1546,FORMULARIO!$AA$2)</f>
        <v>1</v>
      </c>
      <c r="M1546" s="46"/>
      <c r="P1546" s="16"/>
    </row>
    <row r="1547" spans="5:16" hidden="1" x14ac:dyDescent="0.25">
      <c r="E1547" s="43">
        <f>COUNTIF($O$7:O1547,FORMULARIO!$AA$2)</f>
        <v>1</v>
      </c>
      <c r="M1547" s="46"/>
      <c r="P1547" s="16"/>
    </row>
    <row r="1548" spans="5:16" hidden="1" x14ac:dyDescent="0.25">
      <c r="E1548" s="43">
        <f>COUNTIF($O$7:O1548,FORMULARIO!$AA$2)</f>
        <v>1</v>
      </c>
      <c r="M1548" s="46"/>
      <c r="P1548" s="16"/>
    </row>
    <row r="1549" spans="5:16" hidden="1" x14ac:dyDescent="0.25">
      <c r="E1549" s="43">
        <f>COUNTIF($O$7:O1549,FORMULARIO!$AA$2)</f>
        <v>1</v>
      </c>
      <c r="M1549" s="46"/>
      <c r="P1549" s="16"/>
    </row>
    <row r="1550" spans="5:16" hidden="1" x14ac:dyDescent="0.25">
      <c r="E1550" s="43">
        <f>COUNTIF($O$7:O1550,FORMULARIO!$AA$2)</f>
        <v>1</v>
      </c>
      <c r="M1550" s="46"/>
      <c r="P1550" s="16"/>
    </row>
    <row r="1551" spans="5:16" hidden="1" x14ac:dyDescent="0.25">
      <c r="E1551" s="43">
        <f>COUNTIF($O$7:O1551,FORMULARIO!$AA$2)</f>
        <v>1</v>
      </c>
      <c r="M1551" s="46"/>
      <c r="P1551" s="16"/>
    </row>
    <row r="1552" spans="5:16" hidden="1" x14ac:dyDescent="0.25">
      <c r="E1552" s="43">
        <f>COUNTIF($O$7:O1552,FORMULARIO!$AA$2)</f>
        <v>1</v>
      </c>
      <c r="M1552" s="46"/>
      <c r="P1552" s="16"/>
    </row>
    <row r="1553" spans="5:16" hidden="1" x14ac:dyDescent="0.25">
      <c r="E1553" s="43">
        <f>COUNTIF($O$7:O1553,FORMULARIO!$AA$2)</f>
        <v>1</v>
      </c>
      <c r="M1553" s="46"/>
      <c r="P1553" s="16"/>
    </row>
    <row r="1554" spans="5:16" hidden="1" x14ac:dyDescent="0.25">
      <c r="E1554" s="43">
        <f>COUNTIF($O$7:O1554,FORMULARIO!$AA$2)</f>
        <v>1</v>
      </c>
      <c r="M1554" s="46"/>
      <c r="P1554" s="16"/>
    </row>
    <row r="1555" spans="5:16" hidden="1" x14ac:dyDescent="0.25">
      <c r="E1555" s="43">
        <f>COUNTIF($O$7:O1555,FORMULARIO!$AA$2)</f>
        <v>1</v>
      </c>
      <c r="M1555" s="46"/>
      <c r="P1555" s="16"/>
    </row>
    <row r="1556" spans="5:16" hidden="1" x14ac:dyDescent="0.25">
      <c r="E1556" s="43">
        <f>COUNTIF($O$7:O1556,FORMULARIO!$AA$2)</f>
        <v>1</v>
      </c>
      <c r="M1556" s="46"/>
      <c r="P1556" s="16"/>
    </row>
    <row r="1557" spans="5:16" hidden="1" x14ac:dyDescent="0.25">
      <c r="E1557" s="43">
        <f>COUNTIF($O$7:O1557,FORMULARIO!$AA$2)</f>
        <v>1</v>
      </c>
      <c r="M1557" s="46"/>
      <c r="P1557" s="16"/>
    </row>
    <row r="1558" spans="5:16" hidden="1" x14ac:dyDescent="0.25">
      <c r="E1558" s="43">
        <f>COUNTIF($O$7:O1558,FORMULARIO!$AA$2)</f>
        <v>1</v>
      </c>
      <c r="M1558" s="46"/>
      <c r="P1558" s="16"/>
    </row>
    <row r="1559" spans="5:16" hidden="1" x14ac:dyDescent="0.25">
      <c r="E1559" s="43">
        <f>COUNTIF($O$7:O1559,FORMULARIO!$AA$2)</f>
        <v>1</v>
      </c>
      <c r="M1559" s="46"/>
      <c r="P1559" s="16"/>
    </row>
    <row r="1560" spans="5:16" hidden="1" x14ac:dyDescent="0.25">
      <c r="E1560" s="43">
        <f>COUNTIF($O$7:O1560,FORMULARIO!$AA$2)</f>
        <v>1</v>
      </c>
      <c r="M1560" s="46"/>
      <c r="P1560" s="16"/>
    </row>
    <row r="1561" spans="5:16" hidden="1" x14ac:dyDescent="0.25">
      <c r="E1561" s="43">
        <f>COUNTIF($O$7:O1561,FORMULARIO!$AA$2)</f>
        <v>1</v>
      </c>
      <c r="M1561" s="46"/>
      <c r="P1561" s="16"/>
    </row>
    <row r="1562" spans="5:16" hidden="1" x14ac:dyDescent="0.25">
      <c r="E1562" s="43">
        <f>COUNTIF($O$7:O1562,FORMULARIO!$AA$2)</f>
        <v>1</v>
      </c>
      <c r="M1562" s="46"/>
      <c r="P1562" s="16"/>
    </row>
    <row r="1563" spans="5:16" hidden="1" x14ac:dyDescent="0.25">
      <c r="E1563" s="43">
        <f>COUNTIF($O$7:O1563,FORMULARIO!$AA$2)</f>
        <v>1</v>
      </c>
      <c r="M1563" s="46"/>
      <c r="P1563" s="16"/>
    </row>
    <row r="1564" spans="5:16" hidden="1" x14ac:dyDescent="0.25">
      <c r="E1564" s="43">
        <f>COUNTIF($O$7:O1564,FORMULARIO!$AA$2)</f>
        <v>1</v>
      </c>
      <c r="M1564" s="46"/>
      <c r="P1564" s="16"/>
    </row>
    <row r="1565" spans="5:16" hidden="1" x14ac:dyDescent="0.25">
      <c r="E1565" s="43">
        <f>COUNTIF($O$7:O1565,FORMULARIO!$AA$2)</f>
        <v>1</v>
      </c>
      <c r="M1565" s="46"/>
      <c r="P1565" s="16"/>
    </row>
    <row r="1566" spans="5:16" hidden="1" x14ac:dyDescent="0.25">
      <c r="E1566" s="43">
        <f>COUNTIF($O$7:O1566,FORMULARIO!$AA$2)</f>
        <v>1</v>
      </c>
      <c r="M1566" s="46"/>
      <c r="P1566" s="16"/>
    </row>
    <row r="1567" spans="5:16" hidden="1" x14ac:dyDescent="0.25">
      <c r="E1567" s="43">
        <f>COUNTIF($O$7:O1567,FORMULARIO!$AA$2)</f>
        <v>1</v>
      </c>
      <c r="M1567" s="46"/>
      <c r="P1567" s="16"/>
    </row>
    <row r="1568" spans="5:16" hidden="1" x14ac:dyDescent="0.25">
      <c r="E1568" s="43">
        <f>COUNTIF($O$7:O1568,FORMULARIO!$AA$2)</f>
        <v>1</v>
      </c>
      <c r="M1568" s="46"/>
      <c r="P1568" s="16"/>
    </row>
    <row r="1569" spans="5:16" hidden="1" x14ac:dyDescent="0.25">
      <c r="E1569" s="43">
        <f>COUNTIF($O$7:O1569,FORMULARIO!$AA$2)</f>
        <v>1</v>
      </c>
      <c r="M1569" s="46"/>
      <c r="P1569" s="16"/>
    </row>
    <row r="1570" spans="5:16" hidden="1" x14ac:dyDescent="0.25">
      <c r="E1570" s="43">
        <f>COUNTIF($O$7:O1570,FORMULARIO!$AA$2)</f>
        <v>1</v>
      </c>
      <c r="M1570" s="46"/>
      <c r="P1570" s="16"/>
    </row>
    <row r="1571" spans="5:16" hidden="1" x14ac:dyDescent="0.25">
      <c r="E1571" s="43">
        <f>COUNTIF($O$7:O1571,FORMULARIO!$AA$2)</f>
        <v>1</v>
      </c>
      <c r="M1571" s="46"/>
      <c r="P1571" s="16"/>
    </row>
    <row r="1572" spans="5:16" hidden="1" x14ac:dyDescent="0.25">
      <c r="E1572" s="43">
        <f>COUNTIF($O$7:O1572,FORMULARIO!$AA$2)</f>
        <v>1</v>
      </c>
      <c r="M1572" s="46"/>
      <c r="P1572" s="16"/>
    </row>
    <row r="1573" spans="5:16" hidden="1" x14ac:dyDescent="0.25">
      <c r="E1573" s="43">
        <f>COUNTIF($O$7:O1573,FORMULARIO!$AA$2)</f>
        <v>1</v>
      </c>
      <c r="M1573" s="46"/>
      <c r="P1573" s="16"/>
    </row>
    <row r="1574" spans="5:16" hidden="1" x14ac:dyDescent="0.25">
      <c r="E1574" s="43">
        <f>COUNTIF($O$7:O1574,FORMULARIO!$AA$2)</f>
        <v>1</v>
      </c>
      <c r="M1574" s="46"/>
      <c r="P1574" s="16"/>
    </row>
    <row r="1575" spans="5:16" hidden="1" x14ac:dyDescent="0.25">
      <c r="E1575" s="43">
        <f>COUNTIF($O$7:O1575,FORMULARIO!$AA$2)</f>
        <v>1</v>
      </c>
      <c r="M1575" s="46"/>
      <c r="P1575" s="16"/>
    </row>
    <row r="1576" spans="5:16" hidden="1" x14ac:dyDescent="0.25">
      <c r="E1576" s="43">
        <f>COUNTIF($O$7:O1576,FORMULARIO!$AA$2)</f>
        <v>1</v>
      </c>
      <c r="M1576" s="46"/>
      <c r="P1576" s="16"/>
    </row>
    <row r="1577" spans="5:16" hidden="1" x14ac:dyDescent="0.25">
      <c r="E1577" s="43">
        <f>COUNTIF($O$7:O1577,FORMULARIO!$AA$2)</f>
        <v>1</v>
      </c>
      <c r="M1577" s="46"/>
      <c r="P1577" s="16"/>
    </row>
    <row r="1578" spans="5:16" hidden="1" x14ac:dyDescent="0.25">
      <c r="E1578" s="43">
        <f>COUNTIF($O$7:O1578,FORMULARIO!$AA$2)</f>
        <v>1</v>
      </c>
      <c r="M1578" s="46"/>
      <c r="P1578" s="16"/>
    </row>
    <row r="1579" spans="5:16" hidden="1" x14ac:dyDescent="0.25">
      <c r="E1579" s="43">
        <f>COUNTIF($O$7:O1579,FORMULARIO!$AA$2)</f>
        <v>1</v>
      </c>
      <c r="M1579" s="46"/>
      <c r="P1579" s="16"/>
    </row>
    <row r="1580" spans="5:16" hidden="1" x14ac:dyDescent="0.25">
      <c r="E1580" s="43">
        <f>COUNTIF($O$7:O1580,FORMULARIO!$AA$2)</f>
        <v>1</v>
      </c>
      <c r="M1580" s="46"/>
      <c r="P1580" s="16"/>
    </row>
    <row r="1581" spans="5:16" hidden="1" x14ac:dyDescent="0.25">
      <c r="E1581" s="43">
        <f>COUNTIF($O$7:O1581,FORMULARIO!$AA$2)</f>
        <v>1</v>
      </c>
      <c r="M1581" s="46"/>
      <c r="P1581" s="16"/>
    </row>
    <row r="1582" spans="5:16" hidden="1" x14ac:dyDescent="0.25">
      <c r="E1582" s="43">
        <f>COUNTIF($O$7:O1582,FORMULARIO!$AA$2)</f>
        <v>1</v>
      </c>
      <c r="M1582" s="46"/>
      <c r="P1582" s="16"/>
    </row>
    <row r="1583" spans="5:16" hidden="1" x14ac:dyDescent="0.25">
      <c r="E1583" s="43">
        <f>COUNTIF($O$7:O1583,FORMULARIO!$AA$2)</f>
        <v>1</v>
      </c>
      <c r="M1583" s="46"/>
      <c r="P1583" s="16"/>
    </row>
    <row r="1584" spans="5:16" hidden="1" x14ac:dyDescent="0.25">
      <c r="E1584" s="43">
        <f>COUNTIF($O$7:O1584,FORMULARIO!$AA$2)</f>
        <v>1</v>
      </c>
      <c r="M1584" s="46"/>
      <c r="P1584" s="16"/>
    </row>
    <row r="1585" spans="5:16" hidden="1" x14ac:dyDescent="0.25">
      <c r="E1585" s="43">
        <f>COUNTIF($O$7:O1585,FORMULARIO!$AA$2)</f>
        <v>1</v>
      </c>
      <c r="M1585" s="46"/>
      <c r="P1585" s="16"/>
    </row>
    <row r="1586" spans="5:16" hidden="1" x14ac:dyDescent="0.25">
      <c r="E1586" s="43">
        <f>COUNTIF($O$7:O1586,FORMULARIO!$AA$2)</f>
        <v>1</v>
      </c>
      <c r="M1586" s="46"/>
      <c r="P1586" s="16"/>
    </row>
    <row r="1587" spans="5:16" hidden="1" x14ac:dyDescent="0.25">
      <c r="E1587" s="43">
        <f>COUNTIF($O$7:O1587,FORMULARIO!$AA$2)</f>
        <v>1</v>
      </c>
      <c r="M1587" s="46"/>
      <c r="P1587" s="16"/>
    </row>
    <row r="1588" spans="5:16" hidden="1" x14ac:dyDescent="0.25">
      <c r="E1588" s="43">
        <f>COUNTIF($O$7:O1588,FORMULARIO!$AA$2)</f>
        <v>1</v>
      </c>
      <c r="M1588" s="46"/>
      <c r="P1588" s="16"/>
    </row>
    <row r="1589" spans="5:16" hidden="1" x14ac:dyDescent="0.25">
      <c r="E1589" s="43">
        <f>COUNTIF($O$7:O1589,FORMULARIO!$AA$2)</f>
        <v>1</v>
      </c>
      <c r="M1589" s="46"/>
      <c r="P1589" s="16"/>
    </row>
    <row r="1590" spans="5:16" hidden="1" x14ac:dyDescent="0.25">
      <c r="E1590" s="43">
        <f>COUNTIF($O$7:O1590,FORMULARIO!$AA$2)</f>
        <v>1</v>
      </c>
      <c r="M1590" s="46"/>
      <c r="P1590" s="16"/>
    </row>
    <row r="1591" spans="5:16" hidden="1" x14ac:dyDescent="0.25">
      <c r="E1591" s="43">
        <f>COUNTIF($O$7:O1591,FORMULARIO!$AA$2)</f>
        <v>1</v>
      </c>
      <c r="M1591" s="46"/>
      <c r="P1591" s="16"/>
    </row>
    <row r="1592" spans="5:16" hidden="1" x14ac:dyDescent="0.25">
      <c r="E1592" s="43">
        <f>COUNTIF($O$7:O1592,FORMULARIO!$AA$2)</f>
        <v>1</v>
      </c>
      <c r="M1592" s="46"/>
      <c r="P1592" s="16"/>
    </row>
    <row r="1593" spans="5:16" hidden="1" x14ac:dyDescent="0.25">
      <c r="E1593" s="43">
        <f>COUNTIF($O$7:O1593,FORMULARIO!$AA$2)</f>
        <v>1</v>
      </c>
      <c r="M1593" s="46"/>
      <c r="P1593" s="16"/>
    </row>
    <row r="1594" spans="5:16" hidden="1" x14ac:dyDescent="0.25">
      <c r="E1594" s="43">
        <f>COUNTIF($O$7:O1594,FORMULARIO!$AA$2)</f>
        <v>1</v>
      </c>
      <c r="M1594" s="46"/>
      <c r="P1594" s="16"/>
    </row>
    <row r="1595" spans="5:16" hidden="1" x14ac:dyDescent="0.25">
      <c r="E1595" s="43">
        <f>COUNTIF($O$7:O1595,FORMULARIO!$AA$2)</f>
        <v>1</v>
      </c>
      <c r="M1595" s="46"/>
      <c r="P1595" s="16"/>
    </row>
    <row r="1596" spans="5:16" hidden="1" x14ac:dyDescent="0.25">
      <c r="E1596" s="43">
        <f>COUNTIF($O$7:O1596,FORMULARIO!$AA$2)</f>
        <v>1</v>
      </c>
      <c r="M1596" s="46"/>
      <c r="P1596" s="16"/>
    </row>
    <row r="1597" spans="5:16" hidden="1" x14ac:dyDescent="0.25">
      <c r="E1597" s="43">
        <f>COUNTIF($O$7:O1597,FORMULARIO!$AA$2)</f>
        <v>1</v>
      </c>
      <c r="M1597" s="46"/>
      <c r="P1597" s="16"/>
    </row>
    <row r="1598" spans="5:16" hidden="1" x14ac:dyDescent="0.25">
      <c r="E1598" s="43">
        <f>COUNTIF($O$7:O1598,FORMULARIO!$AA$2)</f>
        <v>1</v>
      </c>
      <c r="M1598" s="46"/>
      <c r="P1598" s="16"/>
    </row>
    <row r="1599" spans="5:16" hidden="1" x14ac:dyDescent="0.25">
      <c r="E1599" s="43">
        <f>COUNTIF($O$7:O1599,FORMULARIO!$AA$2)</f>
        <v>1</v>
      </c>
      <c r="M1599" s="46"/>
      <c r="P1599" s="16"/>
    </row>
    <row r="1600" spans="5:16" hidden="1" x14ac:dyDescent="0.25">
      <c r="E1600" s="43">
        <f>COUNTIF($O$7:O1600,FORMULARIO!$AA$2)</f>
        <v>1</v>
      </c>
      <c r="M1600" s="46"/>
      <c r="P1600" s="16"/>
    </row>
    <row r="1601" spans="5:16" hidden="1" x14ac:dyDescent="0.25">
      <c r="E1601" s="43">
        <f>COUNTIF($O$7:O1601,FORMULARIO!$AA$2)</f>
        <v>1</v>
      </c>
      <c r="M1601" s="46"/>
      <c r="P1601" s="16"/>
    </row>
    <row r="1602" spans="5:16" hidden="1" x14ac:dyDescent="0.25">
      <c r="E1602" s="43">
        <f>COUNTIF($O$7:O1602,FORMULARIO!$AA$2)</f>
        <v>1</v>
      </c>
      <c r="M1602" s="46"/>
      <c r="P1602" s="16"/>
    </row>
    <row r="1603" spans="5:16" hidden="1" x14ac:dyDescent="0.25">
      <c r="E1603" s="43">
        <f>COUNTIF($O$7:O1603,FORMULARIO!$AA$2)</f>
        <v>1</v>
      </c>
      <c r="M1603" s="46"/>
      <c r="P1603" s="16"/>
    </row>
    <row r="1604" spans="5:16" hidden="1" x14ac:dyDescent="0.25">
      <c r="E1604" s="43">
        <f>COUNTIF($O$7:O1604,FORMULARIO!$AA$2)</f>
        <v>1</v>
      </c>
      <c r="M1604" s="46"/>
      <c r="P1604" s="16"/>
    </row>
    <row r="1605" spans="5:16" hidden="1" x14ac:dyDescent="0.25">
      <c r="E1605" s="43">
        <f>COUNTIF($O$7:O1605,FORMULARIO!$AA$2)</f>
        <v>1</v>
      </c>
      <c r="M1605" s="46"/>
      <c r="P1605" s="16"/>
    </row>
    <row r="1606" spans="5:16" hidden="1" x14ac:dyDescent="0.25">
      <c r="E1606" s="43">
        <f>COUNTIF($O$7:O1606,FORMULARIO!$AA$2)</f>
        <v>1</v>
      </c>
      <c r="M1606" s="46"/>
      <c r="P1606" s="16"/>
    </row>
    <row r="1607" spans="5:16" hidden="1" x14ac:dyDescent="0.25">
      <c r="E1607" s="43">
        <f>COUNTIF($O$7:O1607,FORMULARIO!$AA$2)</f>
        <v>1</v>
      </c>
      <c r="M1607" s="46"/>
      <c r="P1607" s="16"/>
    </row>
    <row r="1608" spans="5:16" hidden="1" x14ac:dyDescent="0.25">
      <c r="E1608" s="43">
        <f>COUNTIF($O$7:O1608,FORMULARIO!$AA$2)</f>
        <v>1</v>
      </c>
      <c r="M1608" s="46"/>
      <c r="P1608" s="16"/>
    </row>
    <row r="1609" spans="5:16" hidden="1" x14ac:dyDescent="0.25">
      <c r="E1609" s="43">
        <f>COUNTIF($O$7:O1609,FORMULARIO!$AA$2)</f>
        <v>1</v>
      </c>
      <c r="M1609" s="46"/>
      <c r="P1609" s="16"/>
    </row>
    <row r="1610" spans="5:16" hidden="1" x14ac:dyDescent="0.25">
      <c r="E1610" s="43">
        <f>COUNTIF($O$7:O1610,FORMULARIO!$AA$2)</f>
        <v>1</v>
      </c>
      <c r="M1610" s="46"/>
      <c r="P1610" s="16"/>
    </row>
    <row r="1611" spans="5:16" hidden="1" x14ac:dyDescent="0.25">
      <c r="E1611" s="43">
        <f>COUNTIF($O$7:O1611,FORMULARIO!$AA$2)</f>
        <v>1</v>
      </c>
      <c r="M1611" s="46"/>
      <c r="P1611" s="16"/>
    </row>
    <row r="1612" spans="5:16" hidden="1" x14ac:dyDescent="0.25">
      <c r="E1612" s="43">
        <f>COUNTIF($O$7:O1612,FORMULARIO!$AA$2)</f>
        <v>1</v>
      </c>
      <c r="M1612" s="46"/>
      <c r="P1612" s="16"/>
    </row>
    <row r="1613" spans="5:16" hidden="1" x14ac:dyDescent="0.25">
      <c r="E1613" s="43">
        <f>COUNTIF($O$7:O1613,FORMULARIO!$AA$2)</f>
        <v>1</v>
      </c>
      <c r="M1613" s="46"/>
      <c r="P1613" s="16"/>
    </row>
    <row r="1614" spans="5:16" hidden="1" x14ac:dyDescent="0.25">
      <c r="E1614" s="43">
        <f>COUNTIF($O$7:O1614,FORMULARIO!$AA$2)</f>
        <v>1</v>
      </c>
      <c r="M1614" s="46"/>
      <c r="P1614" s="16"/>
    </row>
    <row r="1615" spans="5:16" hidden="1" x14ac:dyDescent="0.25">
      <c r="E1615" s="43">
        <f>COUNTIF($O$7:O1615,FORMULARIO!$AA$2)</f>
        <v>1</v>
      </c>
      <c r="M1615" s="46"/>
      <c r="P1615" s="16"/>
    </row>
    <row r="1616" spans="5:16" hidden="1" x14ac:dyDescent="0.25">
      <c r="E1616" s="43">
        <f>COUNTIF($O$7:O1616,FORMULARIO!$AA$2)</f>
        <v>1</v>
      </c>
      <c r="M1616" s="46"/>
      <c r="P1616" s="16"/>
    </row>
    <row r="1617" spans="5:16" hidden="1" x14ac:dyDescent="0.25">
      <c r="E1617" s="43">
        <f>COUNTIF($O$7:O1617,FORMULARIO!$AA$2)</f>
        <v>1</v>
      </c>
      <c r="M1617" s="46"/>
      <c r="P1617" s="16"/>
    </row>
    <row r="1618" spans="5:16" hidden="1" x14ac:dyDescent="0.25">
      <c r="E1618" s="43">
        <f>COUNTIF($O$7:O1618,FORMULARIO!$AA$2)</f>
        <v>1</v>
      </c>
      <c r="M1618" s="46"/>
      <c r="P1618" s="16"/>
    </row>
    <row r="1619" spans="5:16" hidden="1" x14ac:dyDescent="0.25">
      <c r="E1619" s="43">
        <f>COUNTIF($O$7:O1619,FORMULARIO!$AA$2)</f>
        <v>1</v>
      </c>
      <c r="M1619" s="46"/>
      <c r="P1619" s="16"/>
    </row>
    <row r="1620" spans="5:16" hidden="1" x14ac:dyDescent="0.25">
      <c r="E1620" s="43">
        <f>COUNTIF($O$7:O1620,FORMULARIO!$AA$2)</f>
        <v>1</v>
      </c>
      <c r="M1620" s="46"/>
      <c r="P1620" s="16"/>
    </row>
    <row r="1621" spans="5:16" hidden="1" x14ac:dyDescent="0.25">
      <c r="E1621" s="43">
        <f>COUNTIF($O$7:O1621,FORMULARIO!$AA$2)</f>
        <v>1</v>
      </c>
      <c r="M1621" s="46"/>
      <c r="P1621" s="16"/>
    </row>
    <row r="1622" spans="5:16" hidden="1" x14ac:dyDescent="0.25">
      <c r="E1622" s="43">
        <f>COUNTIF($O$7:O1622,FORMULARIO!$AA$2)</f>
        <v>1</v>
      </c>
      <c r="M1622" s="46"/>
      <c r="P1622" s="16"/>
    </row>
    <row r="1623" spans="5:16" hidden="1" x14ac:dyDescent="0.25">
      <c r="E1623" s="43">
        <f>COUNTIF($O$7:O1623,FORMULARIO!$AA$2)</f>
        <v>1</v>
      </c>
      <c r="M1623" s="46"/>
      <c r="P1623" s="16"/>
    </row>
    <row r="1624" spans="5:16" hidden="1" x14ac:dyDescent="0.25">
      <c r="E1624" s="43">
        <f>COUNTIF($O$7:O1624,FORMULARIO!$AA$2)</f>
        <v>1</v>
      </c>
      <c r="M1624" s="46"/>
      <c r="P1624" s="16"/>
    </row>
    <row r="1625" spans="5:16" hidden="1" x14ac:dyDescent="0.25">
      <c r="E1625" s="43">
        <f>COUNTIF($O$7:O1625,FORMULARIO!$AA$2)</f>
        <v>1</v>
      </c>
      <c r="M1625" s="46"/>
      <c r="P1625" s="16"/>
    </row>
    <row r="1626" spans="5:16" hidden="1" x14ac:dyDescent="0.25">
      <c r="E1626" s="43">
        <f>COUNTIF($O$7:O1626,FORMULARIO!$AA$2)</f>
        <v>1</v>
      </c>
      <c r="M1626" s="46"/>
      <c r="P1626" s="16"/>
    </row>
    <row r="1627" spans="5:16" hidden="1" x14ac:dyDescent="0.25">
      <c r="E1627" s="43">
        <f>COUNTIF($O$7:O1627,FORMULARIO!$AA$2)</f>
        <v>1</v>
      </c>
      <c r="M1627" s="46"/>
      <c r="P1627" s="16"/>
    </row>
    <row r="1628" spans="5:16" hidden="1" x14ac:dyDescent="0.25">
      <c r="E1628" s="43">
        <f>COUNTIF($O$7:O1628,FORMULARIO!$AA$2)</f>
        <v>1</v>
      </c>
      <c r="M1628" s="46"/>
      <c r="P1628" s="16"/>
    </row>
    <row r="1629" spans="5:16" hidden="1" x14ac:dyDescent="0.25">
      <c r="E1629" s="43">
        <f>COUNTIF($O$7:O1629,FORMULARIO!$AA$2)</f>
        <v>1</v>
      </c>
      <c r="M1629" s="46"/>
      <c r="P1629" s="16"/>
    </row>
    <row r="1630" spans="5:16" hidden="1" x14ac:dyDescent="0.25">
      <c r="E1630" s="43">
        <f>COUNTIF($O$7:O1630,FORMULARIO!$AA$2)</f>
        <v>1</v>
      </c>
      <c r="M1630" s="46"/>
      <c r="P1630" s="16"/>
    </row>
    <row r="1631" spans="5:16" hidden="1" x14ac:dyDescent="0.25">
      <c r="E1631" s="43">
        <f>COUNTIF($O$7:O1631,FORMULARIO!$AA$2)</f>
        <v>1</v>
      </c>
      <c r="M1631" s="46"/>
      <c r="P1631" s="16"/>
    </row>
    <row r="1632" spans="5:16" hidden="1" x14ac:dyDescent="0.25">
      <c r="E1632" s="43">
        <f>COUNTIF($O$7:O1632,FORMULARIO!$AA$2)</f>
        <v>1</v>
      </c>
      <c r="M1632" s="46"/>
      <c r="P1632" s="16"/>
    </row>
    <row r="1633" spans="5:16" hidden="1" x14ac:dyDescent="0.25">
      <c r="E1633" s="43">
        <f>COUNTIF($O$7:O1633,FORMULARIO!$AA$2)</f>
        <v>1</v>
      </c>
      <c r="M1633" s="46"/>
      <c r="P1633" s="16"/>
    </row>
    <row r="1634" spans="5:16" hidden="1" x14ac:dyDescent="0.25">
      <c r="E1634" s="43">
        <f>COUNTIF($O$7:O1634,FORMULARIO!$AA$2)</f>
        <v>1</v>
      </c>
      <c r="M1634" s="46"/>
      <c r="P1634" s="16"/>
    </row>
    <row r="1635" spans="5:16" hidden="1" x14ac:dyDescent="0.25">
      <c r="E1635" s="43">
        <f>COUNTIF($O$7:O1635,FORMULARIO!$AA$2)</f>
        <v>1</v>
      </c>
      <c r="M1635" s="46"/>
      <c r="P1635" s="16"/>
    </row>
    <row r="1636" spans="5:16" hidden="1" x14ac:dyDescent="0.25">
      <c r="E1636" s="43">
        <f>COUNTIF($O$7:O1636,FORMULARIO!$AA$2)</f>
        <v>1</v>
      </c>
      <c r="M1636" s="46"/>
      <c r="P1636" s="16"/>
    </row>
    <row r="1637" spans="5:16" hidden="1" x14ac:dyDescent="0.25">
      <c r="E1637" s="43">
        <f>COUNTIF($O$7:O1637,FORMULARIO!$AA$2)</f>
        <v>1</v>
      </c>
      <c r="M1637" s="46"/>
      <c r="P1637" s="16"/>
    </row>
    <row r="1638" spans="5:16" hidden="1" x14ac:dyDescent="0.25">
      <c r="E1638" s="43">
        <f>COUNTIF($O$7:O1638,FORMULARIO!$AA$2)</f>
        <v>1</v>
      </c>
      <c r="M1638" s="46"/>
      <c r="P1638" s="16"/>
    </row>
    <row r="1639" spans="5:16" hidden="1" x14ac:dyDescent="0.25">
      <c r="E1639" s="43">
        <f>COUNTIF($O$7:O1639,FORMULARIO!$AA$2)</f>
        <v>1</v>
      </c>
      <c r="M1639" s="46"/>
      <c r="P1639" s="16"/>
    </row>
    <row r="1640" spans="5:16" hidden="1" x14ac:dyDescent="0.25">
      <c r="E1640" s="43">
        <f>COUNTIF($O$7:O1640,FORMULARIO!$AA$2)</f>
        <v>1</v>
      </c>
      <c r="M1640" s="46"/>
      <c r="P1640" s="16"/>
    </row>
    <row r="1641" spans="5:16" hidden="1" x14ac:dyDescent="0.25">
      <c r="E1641" s="43">
        <f>COUNTIF($O$7:O1641,FORMULARIO!$AA$2)</f>
        <v>1</v>
      </c>
      <c r="M1641" s="46"/>
      <c r="P1641" s="16"/>
    </row>
    <row r="1642" spans="5:16" hidden="1" x14ac:dyDescent="0.25">
      <c r="E1642" s="43">
        <f>COUNTIF($O$7:O1642,FORMULARIO!$AA$2)</f>
        <v>1</v>
      </c>
      <c r="M1642" s="46"/>
      <c r="P1642" s="16"/>
    </row>
    <row r="1643" spans="5:16" hidden="1" x14ac:dyDescent="0.25">
      <c r="E1643" s="43">
        <f>COUNTIF($O$7:O1643,FORMULARIO!$AA$2)</f>
        <v>1</v>
      </c>
      <c r="M1643" s="46"/>
      <c r="P1643" s="16"/>
    </row>
    <row r="1644" spans="5:16" hidden="1" x14ac:dyDescent="0.25">
      <c r="E1644" s="43">
        <f>COUNTIF($O$7:O1644,FORMULARIO!$AA$2)</f>
        <v>1</v>
      </c>
      <c r="M1644" s="46"/>
      <c r="P1644" s="16"/>
    </row>
    <row r="1645" spans="5:16" hidden="1" x14ac:dyDescent="0.25">
      <c r="E1645" s="43">
        <f>COUNTIF($O$7:O1645,FORMULARIO!$AA$2)</f>
        <v>1</v>
      </c>
      <c r="M1645" s="46"/>
      <c r="P1645" s="16"/>
    </row>
    <row r="1646" spans="5:16" hidden="1" x14ac:dyDescent="0.25">
      <c r="E1646" s="43">
        <f>COUNTIF($O$7:O1646,FORMULARIO!$AA$2)</f>
        <v>1</v>
      </c>
      <c r="M1646" s="46"/>
      <c r="P1646" s="16"/>
    </row>
    <row r="1647" spans="5:16" hidden="1" x14ac:dyDescent="0.25">
      <c r="E1647" s="43">
        <f>COUNTIF($O$7:O1647,FORMULARIO!$AA$2)</f>
        <v>1</v>
      </c>
      <c r="M1647" s="46"/>
      <c r="P1647" s="16"/>
    </row>
    <row r="1648" spans="5:16" hidden="1" x14ac:dyDescent="0.25">
      <c r="E1648" s="43">
        <f>COUNTIF($O$7:O1648,FORMULARIO!$AA$2)</f>
        <v>1</v>
      </c>
      <c r="M1648" s="46"/>
      <c r="P1648" s="16"/>
    </row>
    <row r="1649" spans="5:16" hidden="1" x14ac:dyDescent="0.25">
      <c r="E1649" s="43">
        <f>COUNTIF($O$7:O1649,FORMULARIO!$AA$2)</f>
        <v>1</v>
      </c>
      <c r="M1649" s="46"/>
      <c r="P1649" s="16"/>
    </row>
    <row r="1650" spans="5:16" hidden="1" x14ac:dyDescent="0.25">
      <c r="E1650" s="43">
        <f>COUNTIF($O$7:O1650,FORMULARIO!$AA$2)</f>
        <v>1</v>
      </c>
      <c r="M1650" s="46"/>
      <c r="P1650" s="16"/>
    </row>
    <row r="1651" spans="5:16" hidden="1" x14ac:dyDescent="0.25">
      <c r="E1651" s="43">
        <f>COUNTIF($O$7:O1651,FORMULARIO!$AA$2)</f>
        <v>1</v>
      </c>
      <c r="M1651" s="46"/>
      <c r="P1651" s="16"/>
    </row>
    <row r="1652" spans="5:16" hidden="1" x14ac:dyDescent="0.25">
      <c r="E1652" s="43">
        <f>COUNTIF($O$7:O1652,FORMULARIO!$AA$2)</f>
        <v>1</v>
      </c>
      <c r="M1652" s="46"/>
      <c r="P1652" s="16"/>
    </row>
    <row r="1653" spans="5:16" hidden="1" x14ac:dyDescent="0.25">
      <c r="E1653" s="43">
        <f>COUNTIF($O$7:O1653,FORMULARIO!$AA$2)</f>
        <v>1</v>
      </c>
      <c r="M1653" s="46"/>
      <c r="P1653" s="16"/>
    </row>
    <row r="1654" spans="5:16" hidden="1" x14ac:dyDescent="0.25">
      <c r="E1654" s="43">
        <f>COUNTIF($O$7:O1654,FORMULARIO!$AA$2)</f>
        <v>1</v>
      </c>
      <c r="M1654" s="46"/>
      <c r="P1654" s="16"/>
    </row>
    <row r="1655" spans="5:16" hidden="1" x14ac:dyDescent="0.25">
      <c r="E1655" s="43">
        <f>COUNTIF($O$7:O1655,FORMULARIO!$AA$2)</f>
        <v>1</v>
      </c>
      <c r="M1655" s="46"/>
      <c r="P1655" s="16"/>
    </row>
    <row r="1656" spans="5:16" hidden="1" x14ac:dyDescent="0.25">
      <c r="E1656" s="43">
        <f>COUNTIF($O$7:O1656,FORMULARIO!$AA$2)</f>
        <v>1</v>
      </c>
      <c r="M1656" s="46"/>
      <c r="P1656" s="16"/>
    </row>
    <row r="1657" spans="5:16" hidden="1" x14ac:dyDescent="0.25">
      <c r="E1657" s="43">
        <f>COUNTIF($O$7:O1657,FORMULARIO!$AA$2)</f>
        <v>1</v>
      </c>
      <c r="M1657" s="46"/>
      <c r="P1657" s="16"/>
    </row>
    <row r="1658" spans="5:16" hidden="1" x14ac:dyDescent="0.25">
      <c r="E1658" s="43">
        <f>COUNTIF($O$7:O1658,FORMULARIO!$AA$2)</f>
        <v>1</v>
      </c>
      <c r="M1658" s="46"/>
      <c r="P1658" s="16"/>
    </row>
    <row r="1659" spans="5:16" hidden="1" x14ac:dyDescent="0.25">
      <c r="E1659" s="43">
        <f>COUNTIF($O$7:O1659,FORMULARIO!$AA$2)</f>
        <v>1</v>
      </c>
      <c r="M1659" s="46"/>
      <c r="P1659" s="16"/>
    </row>
    <row r="1660" spans="5:16" hidden="1" x14ac:dyDescent="0.25">
      <c r="E1660" s="43">
        <f>COUNTIF($O$7:O1660,FORMULARIO!$AA$2)</f>
        <v>1</v>
      </c>
      <c r="M1660" s="46"/>
      <c r="P1660" s="16"/>
    </row>
    <row r="1661" spans="5:16" hidden="1" x14ac:dyDescent="0.25">
      <c r="E1661" s="43">
        <f>COUNTIF($O$7:O1661,FORMULARIO!$AA$2)</f>
        <v>1</v>
      </c>
      <c r="M1661" s="46"/>
      <c r="P1661" s="16"/>
    </row>
    <row r="1662" spans="5:16" hidden="1" x14ac:dyDescent="0.25">
      <c r="E1662" s="43">
        <f>COUNTIF($O$7:O1662,FORMULARIO!$AA$2)</f>
        <v>1</v>
      </c>
      <c r="M1662" s="46"/>
      <c r="P1662" s="16"/>
    </row>
    <row r="1663" spans="5:16" hidden="1" x14ac:dyDescent="0.25">
      <c r="E1663" s="43">
        <f>COUNTIF($O$7:O1663,FORMULARIO!$AA$2)</f>
        <v>1</v>
      </c>
      <c r="M1663" s="46"/>
      <c r="P1663" s="16"/>
    </row>
    <row r="1664" spans="5:16" hidden="1" x14ac:dyDescent="0.25">
      <c r="E1664" s="43">
        <f>COUNTIF($O$7:O1664,FORMULARIO!$AA$2)</f>
        <v>1</v>
      </c>
      <c r="M1664" s="46"/>
      <c r="P1664" s="16"/>
    </row>
    <row r="1665" spans="5:16" hidden="1" x14ac:dyDescent="0.25">
      <c r="E1665" s="43">
        <f>COUNTIF($O$7:O1665,FORMULARIO!$AA$2)</f>
        <v>1</v>
      </c>
      <c r="M1665" s="46"/>
      <c r="P1665" s="16"/>
    </row>
    <row r="1666" spans="5:16" hidden="1" x14ac:dyDescent="0.25">
      <c r="E1666" s="43">
        <f>COUNTIF($O$7:O1666,FORMULARIO!$AA$2)</f>
        <v>1</v>
      </c>
      <c r="M1666" s="46"/>
      <c r="P1666" s="16"/>
    </row>
    <row r="1667" spans="5:16" hidden="1" x14ac:dyDescent="0.25">
      <c r="E1667" s="43">
        <f>COUNTIF($O$7:O1667,FORMULARIO!$AA$2)</f>
        <v>1</v>
      </c>
      <c r="M1667" s="46"/>
      <c r="P1667" s="16"/>
    </row>
    <row r="1668" spans="5:16" hidden="1" x14ac:dyDescent="0.25">
      <c r="E1668" s="43">
        <f>COUNTIF($O$7:O1668,FORMULARIO!$AA$2)</f>
        <v>1</v>
      </c>
      <c r="M1668" s="46"/>
      <c r="P1668" s="16"/>
    </row>
    <row r="1669" spans="5:16" hidden="1" x14ac:dyDescent="0.25">
      <c r="E1669" s="43">
        <f>COUNTIF($O$7:O1669,FORMULARIO!$AA$2)</f>
        <v>1</v>
      </c>
      <c r="M1669" s="46"/>
      <c r="P1669" s="16"/>
    </row>
    <row r="1670" spans="5:16" hidden="1" x14ac:dyDescent="0.25">
      <c r="E1670" s="43">
        <f>COUNTIF($O$7:O1670,FORMULARIO!$AA$2)</f>
        <v>1</v>
      </c>
      <c r="M1670" s="46"/>
      <c r="P1670" s="16"/>
    </row>
    <row r="1671" spans="5:16" hidden="1" x14ac:dyDescent="0.25">
      <c r="E1671" s="43">
        <f>COUNTIF($O$7:O1671,FORMULARIO!$AA$2)</f>
        <v>1</v>
      </c>
      <c r="M1671" s="46"/>
      <c r="P1671" s="16"/>
    </row>
    <row r="1672" spans="5:16" hidden="1" x14ac:dyDescent="0.25">
      <c r="E1672" s="43">
        <f>COUNTIF($O$7:O1672,FORMULARIO!$AA$2)</f>
        <v>1</v>
      </c>
      <c r="M1672" s="46"/>
      <c r="P1672" s="16"/>
    </row>
    <row r="1673" spans="5:16" hidden="1" x14ac:dyDescent="0.25">
      <c r="E1673" s="43">
        <f>COUNTIF($O$7:O1673,FORMULARIO!$AA$2)</f>
        <v>1</v>
      </c>
      <c r="M1673" s="46"/>
      <c r="P1673" s="16"/>
    </row>
    <row r="1674" spans="5:16" hidden="1" x14ac:dyDescent="0.25">
      <c r="E1674" s="43">
        <f>COUNTIF($O$7:O1674,FORMULARIO!$AA$2)</f>
        <v>1</v>
      </c>
      <c r="M1674" s="46"/>
      <c r="P1674" s="16"/>
    </row>
    <row r="1675" spans="5:16" hidden="1" x14ac:dyDescent="0.25">
      <c r="E1675" s="43">
        <f>COUNTIF($O$7:O1675,FORMULARIO!$AA$2)</f>
        <v>1</v>
      </c>
      <c r="M1675" s="46"/>
      <c r="P1675" s="16"/>
    </row>
    <row r="1676" spans="5:16" hidden="1" x14ac:dyDescent="0.25">
      <c r="E1676" s="43">
        <f>COUNTIF($O$7:O1676,FORMULARIO!$AA$2)</f>
        <v>1</v>
      </c>
      <c r="M1676" s="46"/>
      <c r="P1676" s="16"/>
    </row>
    <row r="1677" spans="5:16" hidden="1" x14ac:dyDescent="0.25">
      <c r="E1677" s="43">
        <f>COUNTIF($O$7:O1677,FORMULARIO!$AA$2)</f>
        <v>1</v>
      </c>
      <c r="M1677" s="46"/>
      <c r="P1677" s="16"/>
    </row>
    <row r="1678" spans="5:16" hidden="1" x14ac:dyDescent="0.25">
      <c r="E1678" s="43">
        <f>COUNTIF($O$7:O1678,FORMULARIO!$AA$2)</f>
        <v>1</v>
      </c>
      <c r="M1678" s="46"/>
      <c r="P1678" s="16"/>
    </row>
    <row r="1679" spans="5:16" hidden="1" x14ac:dyDescent="0.25">
      <c r="E1679" s="43">
        <f>COUNTIF($O$7:O1679,FORMULARIO!$AA$2)</f>
        <v>1</v>
      </c>
      <c r="M1679" s="46"/>
      <c r="P1679" s="16"/>
    </row>
    <row r="1680" spans="5:16" hidden="1" x14ac:dyDescent="0.25">
      <c r="E1680" s="43">
        <f>COUNTIF($O$7:O1680,FORMULARIO!$AA$2)</f>
        <v>1</v>
      </c>
      <c r="M1680" s="46"/>
      <c r="P1680" s="16"/>
    </row>
    <row r="1681" spans="5:16" hidden="1" x14ac:dyDescent="0.25">
      <c r="E1681" s="43">
        <f>COUNTIF($O$7:O1681,FORMULARIO!$AA$2)</f>
        <v>1</v>
      </c>
      <c r="M1681" s="46"/>
      <c r="P1681" s="16"/>
    </row>
    <row r="1682" spans="5:16" hidden="1" x14ac:dyDescent="0.25">
      <c r="E1682" s="43">
        <f>COUNTIF($O$7:O1682,FORMULARIO!$AA$2)</f>
        <v>1</v>
      </c>
      <c r="M1682" s="46"/>
      <c r="P1682" s="16"/>
    </row>
    <row r="1683" spans="5:16" hidden="1" x14ac:dyDescent="0.25">
      <c r="E1683" s="43">
        <f>COUNTIF($O$7:O1683,FORMULARIO!$AA$2)</f>
        <v>1</v>
      </c>
      <c r="M1683" s="46"/>
      <c r="P1683" s="16"/>
    </row>
    <row r="1684" spans="5:16" hidden="1" x14ac:dyDescent="0.25">
      <c r="E1684" s="43">
        <f>COUNTIF($O$7:O1684,FORMULARIO!$AA$2)</f>
        <v>1</v>
      </c>
      <c r="M1684" s="46"/>
      <c r="P1684" s="16"/>
    </row>
    <row r="1685" spans="5:16" hidden="1" x14ac:dyDescent="0.25">
      <c r="E1685" s="43">
        <f>COUNTIF($O$7:O1685,FORMULARIO!$AA$2)</f>
        <v>1</v>
      </c>
      <c r="M1685" s="46"/>
      <c r="P1685" s="16"/>
    </row>
    <row r="1686" spans="5:16" hidden="1" x14ac:dyDescent="0.25">
      <c r="E1686" s="43">
        <f>COUNTIF($O$7:O1686,FORMULARIO!$AA$2)</f>
        <v>1</v>
      </c>
      <c r="M1686" s="46"/>
      <c r="P1686" s="16"/>
    </row>
    <row r="1687" spans="5:16" hidden="1" x14ac:dyDescent="0.25">
      <c r="E1687" s="43">
        <f>COUNTIF($O$7:O1687,FORMULARIO!$AA$2)</f>
        <v>1</v>
      </c>
      <c r="M1687" s="46"/>
      <c r="P1687" s="16"/>
    </row>
    <row r="1688" spans="5:16" hidden="1" x14ac:dyDescent="0.25">
      <c r="E1688" s="43">
        <f>COUNTIF($O$7:O1688,FORMULARIO!$AA$2)</f>
        <v>1</v>
      </c>
      <c r="M1688" s="46"/>
      <c r="P1688" s="16"/>
    </row>
    <row r="1689" spans="5:16" hidden="1" x14ac:dyDescent="0.25">
      <c r="E1689" s="43">
        <f>COUNTIF($O$7:O1689,FORMULARIO!$AA$2)</f>
        <v>1</v>
      </c>
      <c r="M1689" s="46"/>
      <c r="P1689" s="16"/>
    </row>
    <row r="1690" spans="5:16" hidden="1" x14ac:dyDescent="0.25">
      <c r="E1690" s="43">
        <f>COUNTIF($O$7:O1690,FORMULARIO!$AA$2)</f>
        <v>1</v>
      </c>
      <c r="M1690" s="46"/>
      <c r="P1690" s="16"/>
    </row>
    <row r="1691" spans="5:16" hidden="1" x14ac:dyDescent="0.25">
      <c r="E1691" s="43">
        <f>COUNTIF($O$7:O1691,FORMULARIO!$AA$2)</f>
        <v>1</v>
      </c>
      <c r="M1691" s="46"/>
      <c r="P1691" s="16"/>
    </row>
    <row r="1692" spans="5:16" hidden="1" x14ac:dyDescent="0.25">
      <c r="E1692" s="43">
        <f>COUNTIF($O$7:O1692,FORMULARIO!$AA$2)</f>
        <v>1</v>
      </c>
      <c r="M1692" s="46"/>
      <c r="P1692" s="16"/>
    </row>
    <row r="1693" spans="5:16" hidden="1" x14ac:dyDescent="0.25">
      <c r="E1693" s="43">
        <f>COUNTIF($O$7:O1693,FORMULARIO!$AA$2)</f>
        <v>1</v>
      </c>
      <c r="M1693" s="46"/>
      <c r="P1693" s="16"/>
    </row>
    <row r="1694" spans="5:16" hidden="1" x14ac:dyDescent="0.25">
      <c r="E1694" s="43">
        <f>COUNTIF($O$7:O1694,FORMULARIO!$AA$2)</f>
        <v>1</v>
      </c>
      <c r="M1694" s="46"/>
      <c r="P1694" s="16"/>
    </row>
    <row r="1695" spans="5:16" hidden="1" x14ac:dyDescent="0.25">
      <c r="E1695" s="43">
        <f>COUNTIF($O$7:O1695,FORMULARIO!$AA$2)</f>
        <v>1</v>
      </c>
      <c r="M1695" s="46"/>
      <c r="P1695" s="16"/>
    </row>
    <row r="1696" spans="5:16" hidden="1" x14ac:dyDescent="0.25">
      <c r="E1696" s="43">
        <f>COUNTIF($O$7:O1696,FORMULARIO!$AA$2)</f>
        <v>1</v>
      </c>
      <c r="M1696" s="46"/>
      <c r="P1696" s="16"/>
    </row>
    <row r="1697" spans="5:16" hidden="1" x14ac:dyDescent="0.25">
      <c r="E1697" s="43">
        <f>COUNTIF($O$7:O1697,FORMULARIO!$AA$2)</f>
        <v>1</v>
      </c>
      <c r="M1697" s="46"/>
      <c r="P1697" s="16"/>
    </row>
    <row r="1698" spans="5:16" hidden="1" x14ac:dyDescent="0.25">
      <c r="E1698" s="43">
        <f>COUNTIF($O$7:O1698,FORMULARIO!$AA$2)</f>
        <v>1</v>
      </c>
      <c r="M1698" s="46"/>
      <c r="P1698" s="16"/>
    </row>
    <row r="1699" spans="5:16" hidden="1" x14ac:dyDescent="0.25">
      <c r="E1699" s="43">
        <f>COUNTIF($O$7:O1699,FORMULARIO!$AA$2)</f>
        <v>1</v>
      </c>
      <c r="M1699" s="46"/>
      <c r="P1699" s="16"/>
    </row>
    <row r="1700" spans="5:16" hidden="1" x14ac:dyDescent="0.25">
      <c r="E1700" s="43">
        <f>COUNTIF($O$7:O1700,FORMULARIO!$AA$2)</f>
        <v>1</v>
      </c>
      <c r="M1700" s="46"/>
      <c r="P1700" s="16"/>
    </row>
    <row r="1701" spans="5:16" hidden="1" x14ac:dyDescent="0.25">
      <c r="E1701" s="43">
        <f>COUNTIF($O$7:O1701,FORMULARIO!$AA$2)</f>
        <v>1</v>
      </c>
      <c r="M1701" s="46"/>
      <c r="P1701" s="16"/>
    </row>
    <row r="1702" spans="5:16" hidden="1" x14ac:dyDescent="0.25">
      <c r="E1702" s="43">
        <f>COUNTIF($O$7:O1702,FORMULARIO!$AA$2)</f>
        <v>1</v>
      </c>
      <c r="M1702" s="46"/>
      <c r="P1702" s="16"/>
    </row>
    <row r="1703" spans="5:16" hidden="1" x14ac:dyDescent="0.25">
      <c r="E1703" s="43">
        <f>COUNTIF($O$7:O1703,FORMULARIO!$AA$2)</f>
        <v>1</v>
      </c>
      <c r="M1703" s="46"/>
      <c r="P1703" s="16"/>
    </row>
    <row r="1704" spans="5:16" hidden="1" x14ac:dyDescent="0.25">
      <c r="E1704" s="43">
        <f>COUNTIF($O$7:O1704,FORMULARIO!$AA$2)</f>
        <v>1</v>
      </c>
      <c r="M1704" s="46"/>
      <c r="P1704" s="16"/>
    </row>
    <row r="1705" spans="5:16" hidden="1" x14ac:dyDescent="0.25">
      <c r="E1705" s="43">
        <f>COUNTIF($O$7:O1705,FORMULARIO!$AA$2)</f>
        <v>1</v>
      </c>
      <c r="M1705" s="46"/>
      <c r="P1705" s="16"/>
    </row>
    <row r="1706" spans="5:16" hidden="1" x14ac:dyDescent="0.25">
      <c r="E1706" s="43">
        <f>COUNTIF($O$7:O1706,FORMULARIO!$AA$2)</f>
        <v>1</v>
      </c>
      <c r="M1706" s="46"/>
      <c r="P1706" s="16"/>
    </row>
    <row r="1707" spans="5:16" hidden="1" x14ac:dyDescent="0.25">
      <c r="E1707" s="43">
        <f>COUNTIF($O$7:O1707,FORMULARIO!$AA$2)</f>
        <v>1</v>
      </c>
      <c r="M1707" s="46"/>
      <c r="P1707" s="16"/>
    </row>
    <row r="1708" spans="5:16" hidden="1" x14ac:dyDescent="0.25">
      <c r="E1708" s="43">
        <f>COUNTIF($O$7:O1708,FORMULARIO!$AA$2)</f>
        <v>1</v>
      </c>
      <c r="M1708" s="46"/>
      <c r="P1708" s="16"/>
    </row>
    <row r="1709" spans="5:16" hidden="1" x14ac:dyDescent="0.25">
      <c r="E1709" s="43">
        <f>COUNTIF($O$7:O1709,FORMULARIO!$AA$2)</f>
        <v>1</v>
      </c>
      <c r="M1709" s="46"/>
      <c r="P1709" s="16"/>
    </row>
    <row r="1710" spans="5:16" hidden="1" x14ac:dyDescent="0.25">
      <c r="E1710" s="43">
        <f>COUNTIF($O$7:O1710,FORMULARIO!$AA$2)</f>
        <v>1</v>
      </c>
      <c r="M1710" s="46"/>
      <c r="P1710" s="16"/>
    </row>
    <row r="1711" spans="5:16" hidden="1" x14ac:dyDescent="0.25">
      <c r="E1711" s="43">
        <f>COUNTIF($O$7:O1711,FORMULARIO!$AA$2)</f>
        <v>1</v>
      </c>
      <c r="M1711" s="46"/>
      <c r="P1711" s="16"/>
    </row>
    <row r="1712" spans="5:16" hidden="1" x14ac:dyDescent="0.25">
      <c r="E1712" s="43">
        <f>COUNTIF($O$7:O1712,FORMULARIO!$AA$2)</f>
        <v>1</v>
      </c>
      <c r="M1712" s="46"/>
      <c r="P1712" s="16"/>
    </row>
    <row r="1713" spans="5:16" hidden="1" x14ac:dyDescent="0.25">
      <c r="E1713" s="43">
        <f>COUNTIF($O$7:O1713,FORMULARIO!$AA$2)</f>
        <v>1</v>
      </c>
      <c r="M1713" s="46"/>
      <c r="P1713" s="16"/>
    </row>
    <row r="1714" spans="5:16" hidden="1" x14ac:dyDescent="0.25">
      <c r="E1714" s="43">
        <f>COUNTIF($O$7:O1714,FORMULARIO!$AA$2)</f>
        <v>1</v>
      </c>
      <c r="M1714" s="46"/>
      <c r="P1714" s="16"/>
    </row>
    <row r="1715" spans="5:16" hidden="1" x14ac:dyDescent="0.25">
      <c r="E1715" s="43">
        <f>COUNTIF($O$7:O1715,FORMULARIO!$AA$2)</f>
        <v>1</v>
      </c>
      <c r="M1715" s="46"/>
      <c r="P1715" s="16"/>
    </row>
    <row r="1716" spans="5:16" hidden="1" x14ac:dyDescent="0.25">
      <c r="E1716" s="43">
        <f>COUNTIF($O$7:O1716,FORMULARIO!$AA$2)</f>
        <v>1</v>
      </c>
      <c r="M1716" s="46"/>
      <c r="P1716" s="16"/>
    </row>
    <row r="1717" spans="5:16" hidden="1" x14ac:dyDescent="0.25">
      <c r="E1717" s="43">
        <f>COUNTIF($O$7:O1717,FORMULARIO!$AA$2)</f>
        <v>1</v>
      </c>
      <c r="M1717" s="46"/>
      <c r="P1717" s="16"/>
    </row>
    <row r="1718" spans="5:16" hidden="1" x14ac:dyDescent="0.25">
      <c r="E1718" s="43">
        <f>COUNTIF($O$7:O1718,FORMULARIO!$AA$2)</f>
        <v>1</v>
      </c>
      <c r="M1718" s="46"/>
      <c r="P1718" s="16"/>
    </row>
    <row r="1719" spans="5:16" hidden="1" x14ac:dyDescent="0.25">
      <c r="E1719" s="43">
        <f>COUNTIF($O$7:O1719,FORMULARIO!$AA$2)</f>
        <v>1</v>
      </c>
      <c r="M1719" s="46"/>
      <c r="P1719" s="16"/>
    </row>
    <row r="1720" spans="5:16" hidden="1" x14ac:dyDescent="0.25">
      <c r="E1720" s="43">
        <f>COUNTIF($O$7:O1720,FORMULARIO!$AA$2)</f>
        <v>1</v>
      </c>
      <c r="M1720" s="46"/>
      <c r="P1720" s="16"/>
    </row>
    <row r="1721" spans="5:16" hidden="1" x14ac:dyDescent="0.25">
      <c r="E1721" s="43">
        <f>COUNTIF($O$7:O1721,FORMULARIO!$AA$2)</f>
        <v>1</v>
      </c>
      <c r="M1721" s="46"/>
      <c r="P1721" s="16"/>
    </row>
    <row r="1722" spans="5:16" hidden="1" x14ac:dyDescent="0.25">
      <c r="E1722" s="43">
        <f>COUNTIF($O$7:O1722,FORMULARIO!$AA$2)</f>
        <v>1</v>
      </c>
      <c r="M1722" s="46"/>
      <c r="P1722" s="16"/>
    </row>
    <row r="1723" spans="5:16" hidden="1" x14ac:dyDescent="0.25">
      <c r="E1723" s="43">
        <f>COUNTIF($O$7:O1723,FORMULARIO!$AA$2)</f>
        <v>1</v>
      </c>
      <c r="M1723" s="46"/>
      <c r="P1723" s="16"/>
    </row>
    <row r="1724" spans="5:16" hidden="1" x14ac:dyDescent="0.25">
      <c r="E1724" s="43">
        <f>COUNTIF($O$7:O1724,FORMULARIO!$AA$2)</f>
        <v>1</v>
      </c>
      <c r="M1724" s="46"/>
      <c r="P1724" s="16"/>
    </row>
    <row r="1725" spans="5:16" hidden="1" x14ac:dyDescent="0.25">
      <c r="E1725" s="43">
        <f>COUNTIF($O$7:O1725,FORMULARIO!$AA$2)</f>
        <v>1</v>
      </c>
      <c r="M1725" s="46"/>
      <c r="P1725" s="16"/>
    </row>
    <row r="1726" spans="5:16" hidden="1" x14ac:dyDescent="0.25">
      <c r="E1726" s="43">
        <f>COUNTIF($O$7:O1726,FORMULARIO!$AA$2)</f>
        <v>1</v>
      </c>
      <c r="M1726" s="46"/>
      <c r="P1726" s="16"/>
    </row>
    <row r="1727" spans="5:16" hidden="1" x14ac:dyDescent="0.25">
      <c r="E1727" s="43">
        <f>COUNTIF($O$7:O1727,FORMULARIO!$AA$2)</f>
        <v>1</v>
      </c>
      <c r="M1727" s="46"/>
      <c r="P1727" s="16"/>
    </row>
    <row r="1728" spans="5:16" hidden="1" x14ac:dyDescent="0.25">
      <c r="E1728" s="43">
        <f>COUNTIF($O$7:O1728,FORMULARIO!$AA$2)</f>
        <v>1</v>
      </c>
      <c r="M1728" s="46"/>
      <c r="P1728" s="16"/>
    </row>
    <row r="1729" spans="5:16" hidden="1" x14ac:dyDescent="0.25">
      <c r="E1729" s="43">
        <f>COUNTIF($O$7:O1729,FORMULARIO!$AA$2)</f>
        <v>1</v>
      </c>
      <c r="M1729" s="46"/>
      <c r="P1729" s="16"/>
    </row>
    <row r="1730" spans="5:16" hidden="1" x14ac:dyDescent="0.25">
      <c r="E1730" s="43">
        <f>COUNTIF($O$7:O1730,FORMULARIO!$AA$2)</f>
        <v>1</v>
      </c>
      <c r="M1730" s="46"/>
      <c r="P1730" s="16"/>
    </row>
    <row r="1731" spans="5:16" hidden="1" x14ac:dyDescent="0.25">
      <c r="E1731" s="43">
        <f>COUNTIF($O$7:O1731,FORMULARIO!$AA$2)</f>
        <v>1</v>
      </c>
      <c r="M1731" s="46"/>
      <c r="P1731" s="16"/>
    </row>
    <row r="1732" spans="5:16" hidden="1" x14ac:dyDescent="0.25">
      <c r="E1732" s="43">
        <f>COUNTIF($O$7:O1732,FORMULARIO!$AA$2)</f>
        <v>1</v>
      </c>
      <c r="M1732" s="46"/>
      <c r="P1732" s="16"/>
    </row>
    <row r="1733" spans="5:16" hidden="1" x14ac:dyDescent="0.25">
      <c r="E1733" s="43">
        <f>COUNTIF($O$7:O1733,FORMULARIO!$AA$2)</f>
        <v>1</v>
      </c>
      <c r="M1733" s="46"/>
      <c r="P1733" s="16"/>
    </row>
    <row r="1734" spans="5:16" hidden="1" x14ac:dyDescent="0.25">
      <c r="E1734" s="43">
        <f>COUNTIF($O$7:O1734,FORMULARIO!$AA$2)</f>
        <v>1</v>
      </c>
      <c r="M1734" s="46"/>
      <c r="P1734" s="16"/>
    </row>
    <row r="1735" spans="5:16" hidden="1" x14ac:dyDescent="0.25">
      <c r="E1735" s="43">
        <f>COUNTIF($O$7:O1735,FORMULARIO!$AA$2)</f>
        <v>1</v>
      </c>
      <c r="M1735" s="46"/>
      <c r="P1735" s="16"/>
    </row>
    <row r="1736" spans="5:16" hidden="1" x14ac:dyDescent="0.25">
      <c r="E1736" s="43">
        <f>COUNTIF($O$7:O1736,FORMULARIO!$AA$2)</f>
        <v>1</v>
      </c>
      <c r="M1736" s="46"/>
      <c r="P1736" s="16"/>
    </row>
    <row r="1737" spans="5:16" hidden="1" x14ac:dyDescent="0.25">
      <c r="E1737" s="43">
        <f>COUNTIF($O$7:O1737,FORMULARIO!$AA$2)</f>
        <v>1</v>
      </c>
      <c r="M1737" s="46"/>
      <c r="P1737" s="16"/>
    </row>
    <row r="1738" spans="5:16" hidden="1" x14ac:dyDescent="0.25">
      <c r="E1738" s="43">
        <f>COUNTIF($O$7:O1738,FORMULARIO!$AA$2)</f>
        <v>1</v>
      </c>
      <c r="M1738" s="46"/>
      <c r="P1738" s="16"/>
    </row>
    <row r="1739" spans="5:16" hidden="1" x14ac:dyDescent="0.25">
      <c r="E1739" s="43">
        <f>COUNTIF($O$7:O1739,FORMULARIO!$AA$2)</f>
        <v>1</v>
      </c>
      <c r="M1739" s="46"/>
      <c r="P1739" s="16"/>
    </row>
    <row r="1740" spans="5:16" hidden="1" x14ac:dyDescent="0.25">
      <c r="E1740" s="43">
        <f>COUNTIF($O$7:O1740,FORMULARIO!$AA$2)</f>
        <v>1</v>
      </c>
      <c r="M1740" s="46"/>
      <c r="P1740" s="16"/>
    </row>
    <row r="1741" spans="5:16" hidden="1" x14ac:dyDescent="0.25">
      <c r="E1741" s="43">
        <f>COUNTIF($O$7:O1741,FORMULARIO!$AA$2)</f>
        <v>1</v>
      </c>
      <c r="M1741" s="46"/>
      <c r="P1741" s="16"/>
    </row>
    <row r="1742" spans="5:16" hidden="1" x14ac:dyDescent="0.25">
      <c r="E1742" s="43">
        <f>COUNTIF($O$7:O1742,FORMULARIO!$AA$2)</f>
        <v>1</v>
      </c>
      <c r="M1742" s="46"/>
      <c r="P1742" s="16"/>
    </row>
    <row r="1743" spans="5:16" hidden="1" x14ac:dyDescent="0.25">
      <c r="E1743" s="43">
        <f>COUNTIF($O$7:O1743,FORMULARIO!$AA$2)</f>
        <v>1</v>
      </c>
      <c r="M1743" s="46"/>
      <c r="P1743" s="16"/>
    </row>
    <row r="1744" spans="5:16" hidden="1" x14ac:dyDescent="0.25">
      <c r="E1744" s="43">
        <f>COUNTIF($O$7:O1744,FORMULARIO!$AA$2)</f>
        <v>1</v>
      </c>
      <c r="M1744" s="46"/>
      <c r="P1744" s="16"/>
    </row>
    <row r="1745" spans="5:16" hidden="1" x14ac:dyDescent="0.25">
      <c r="E1745" s="43">
        <f>COUNTIF($O$7:O1745,FORMULARIO!$AA$2)</f>
        <v>1</v>
      </c>
      <c r="M1745" s="46"/>
      <c r="P1745" s="16"/>
    </row>
    <row r="1746" spans="5:16" hidden="1" x14ac:dyDescent="0.25">
      <c r="E1746" s="43">
        <f>COUNTIF($O$7:O1746,FORMULARIO!$AA$2)</f>
        <v>1</v>
      </c>
      <c r="M1746" s="46"/>
      <c r="P1746" s="16"/>
    </row>
    <row r="1747" spans="5:16" hidden="1" x14ac:dyDescent="0.25">
      <c r="E1747" s="43">
        <f>COUNTIF($O$7:O1747,FORMULARIO!$AA$2)</f>
        <v>1</v>
      </c>
      <c r="M1747" s="46"/>
      <c r="P1747" s="16"/>
    </row>
    <row r="1748" spans="5:16" hidden="1" x14ac:dyDescent="0.25">
      <c r="E1748" s="43">
        <f>COUNTIF($O$7:O1748,FORMULARIO!$AA$2)</f>
        <v>1</v>
      </c>
      <c r="M1748" s="46"/>
      <c r="P1748" s="16"/>
    </row>
    <row r="1749" spans="5:16" hidden="1" x14ac:dyDescent="0.25">
      <c r="E1749" s="43">
        <f>COUNTIF($O$7:O1749,FORMULARIO!$AA$2)</f>
        <v>1</v>
      </c>
      <c r="M1749" s="46"/>
      <c r="P1749" s="16"/>
    </row>
    <row r="1750" spans="5:16" hidden="1" x14ac:dyDescent="0.25">
      <c r="E1750" s="43">
        <f>COUNTIF($O$7:O1750,FORMULARIO!$AA$2)</f>
        <v>1</v>
      </c>
      <c r="M1750" s="46"/>
      <c r="P1750" s="16"/>
    </row>
    <row r="1751" spans="5:16" hidden="1" x14ac:dyDescent="0.25">
      <c r="E1751" s="43">
        <f>COUNTIF($O$7:O1751,FORMULARIO!$AA$2)</f>
        <v>1</v>
      </c>
      <c r="M1751" s="46"/>
      <c r="P1751" s="16"/>
    </row>
    <row r="1752" spans="5:16" hidden="1" x14ac:dyDescent="0.25">
      <c r="E1752" s="43">
        <f>COUNTIF($O$7:O1752,FORMULARIO!$AA$2)</f>
        <v>1</v>
      </c>
      <c r="M1752" s="46"/>
      <c r="P1752" s="16"/>
    </row>
    <row r="1753" spans="5:16" hidden="1" x14ac:dyDescent="0.25">
      <c r="E1753" s="43">
        <f>COUNTIF($O$7:O1753,FORMULARIO!$AA$2)</f>
        <v>1</v>
      </c>
      <c r="M1753" s="46"/>
      <c r="P1753" s="16"/>
    </row>
    <row r="1754" spans="5:16" hidden="1" x14ac:dyDescent="0.25">
      <c r="E1754" s="43">
        <f>COUNTIF($O$7:O1754,FORMULARIO!$AA$2)</f>
        <v>1</v>
      </c>
      <c r="M1754" s="46"/>
      <c r="P1754" s="16"/>
    </row>
    <row r="1755" spans="5:16" hidden="1" x14ac:dyDescent="0.25">
      <c r="E1755" s="43">
        <f>COUNTIF($O$7:O1755,FORMULARIO!$AA$2)</f>
        <v>1</v>
      </c>
      <c r="M1755" s="46"/>
      <c r="P1755" s="16"/>
    </row>
    <row r="1756" spans="5:16" hidden="1" x14ac:dyDescent="0.25">
      <c r="E1756" s="43">
        <f>COUNTIF($O$7:O1756,FORMULARIO!$AA$2)</f>
        <v>1</v>
      </c>
      <c r="M1756" s="46"/>
      <c r="P1756" s="16"/>
    </row>
    <row r="1757" spans="5:16" hidden="1" x14ac:dyDescent="0.25">
      <c r="E1757" s="43">
        <f>COUNTIF($O$7:O1757,FORMULARIO!$AA$2)</f>
        <v>1</v>
      </c>
      <c r="M1757" s="46"/>
      <c r="P1757" s="16"/>
    </row>
    <row r="1758" spans="5:16" hidden="1" x14ac:dyDescent="0.25">
      <c r="E1758" s="43">
        <f>COUNTIF($O$7:O1758,FORMULARIO!$AA$2)</f>
        <v>1</v>
      </c>
      <c r="M1758" s="46"/>
      <c r="P1758" s="16"/>
    </row>
    <row r="1759" spans="5:16" hidden="1" x14ac:dyDescent="0.25">
      <c r="E1759" s="43">
        <f>COUNTIF($O$7:O1759,FORMULARIO!$AA$2)</f>
        <v>1</v>
      </c>
      <c r="M1759" s="46"/>
      <c r="P1759" s="16"/>
    </row>
    <row r="1760" spans="5:16" hidden="1" x14ac:dyDescent="0.25">
      <c r="E1760" s="43">
        <f>COUNTIF($O$7:O1760,FORMULARIO!$AA$2)</f>
        <v>1</v>
      </c>
      <c r="M1760" s="46"/>
      <c r="P1760" s="16"/>
    </row>
    <row r="1761" spans="5:16" hidden="1" x14ac:dyDescent="0.25">
      <c r="E1761" s="43">
        <f>COUNTIF($O$7:O1761,FORMULARIO!$AA$2)</f>
        <v>1</v>
      </c>
      <c r="M1761" s="46"/>
      <c r="P1761" s="16"/>
    </row>
    <row r="1762" spans="5:16" hidden="1" x14ac:dyDescent="0.25">
      <c r="E1762" s="43">
        <f>COUNTIF($O$7:O1762,FORMULARIO!$AA$2)</f>
        <v>1</v>
      </c>
      <c r="M1762" s="46"/>
      <c r="P1762" s="16"/>
    </row>
    <row r="1763" spans="5:16" hidden="1" x14ac:dyDescent="0.25">
      <c r="E1763" s="43">
        <f>COUNTIF($O$7:O1763,FORMULARIO!$AA$2)</f>
        <v>1</v>
      </c>
      <c r="M1763" s="46"/>
      <c r="P1763" s="16"/>
    </row>
    <row r="1764" spans="5:16" hidden="1" x14ac:dyDescent="0.25">
      <c r="E1764" s="43">
        <f>COUNTIF($O$7:O1764,FORMULARIO!$AA$2)</f>
        <v>1</v>
      </c>
      <c r="M1764" s="46"/>
      <c r="P1764" s="16"/>
    </row>
    <row r="1765" spans="5:16" hidden="1" x14ac:dyDescent="0.25">
      <c r="E1765" s="43">
        <f>COUNTIF($O$7:O1765,FORMULARIO!$AA$2)</f>
        <v>1</v>
      </c>
      <c r="M1765" s="46"/>
      <c r="P1765" s="16"/>
    </row>
    <row r="1766" spans="5:16" hidden="1" x14ac:dyDescent="0.25">
      <c r="E1766" s="43">
        <f>COUNTIF($O$7:O1766,FORMULARIO!$AA$2)</f>
        <v>1</v>
      </c>
      <c r="M1766" s="46"/>
      <c r="P1766" s="16"/>
    </row>
    <row r="1767" spans="5:16" hidden="1" x14ac:dyDescent="0.25">
      <c r="E1767" s="43">
        <f>COUNTIF($O$7:O1767,FORMULARIO!$AA$2)</f>
        <v>1</v>
      </c>
      <c r="M1767" s="46"/>
      <c r="P1767" s="16"/>
    </row>
    <row r="1768" spans="5:16" hidden="1" x14ac:dyDescent="0.25">
      <c r="E1768" s="43">
        <f>COUNTIF($O$7:O1768,FORMULARIO!$AA$2)</f>
        <v>1</v>
      </c>
      <c r="M1768" s="46"/>
      <c r="P1768" s="16"/>
    </row>
    <row r="1769" spans="5:16" hidden="1" x14ac:dyDescent="0.25">
      <c r="E1769" s="43">
        <f>COUNTIF($O$7:O1769,FORMULARIO!$AA$2)</f>
        <v>1</v>
      </c>
      <c r="M1769" s="46"/>
      <c r="P1769" s="16"/>
    </row>
    <row r="1770" spans="5:16" hidden="1" x14ac:dyDescent="0.25">
      <c r="E1770" s="43">
        <f>COUNTIF($O$7:O1770,FORMULARIO!$AA$2)</f>
        <v>1</v>
      </c>
      <c r="M1770" s="46"/>
      <c r="P1770" s="16"/>
    </row>
    <row r="1771" spans="5:16" hidden="1" x14ac:dyDescent="0.25">
      <c r="E1771" s="43">
        <f>COUNTIF($O$7:O1771,FORMULARIO!$AA$2)</f>
        <v>1</v>
      </c>
      <c r="M1771" s="46"/>
      <c r="P1771" s="16"/>
    </row>
    <row r="1772" spans="5:16" hidden="1" x14ac:dyDescent="0.25">
      <c r="E1772" s="43">
        <f>COUNTIF($O$7:O1772,FORMULARIO!$AA$2)</f>
        <v>1</v>
      </c>
      <c r="M1772" s="46"/>
      <c r="P1772" s="16"/>
    </row>
    <row r="1773" spans="5:16" hidden="1" x14ac:dyDescent="0.25">
      <c r="E1773" s="43">
        <f>COUNTIF($O$7:O1773,FORMULARIO!$AA$2)</f>
        <v>1</v>
      </c>
      <c r="M1773" s="46"/>
      <c r="P1773" s="16"/>
    </row>
    <row r="1774" spans="5:16" hidden="1" x14ac:dyDescent="0.25">
      <c r="E1774" s="43">
        <f>COUNTIF($O$7:O1774,FORMULARIO!$AA$2)</f>
        <v>1</v>
      </c>
      <c r="M1774" s="46"/>
      <c r="P1774" s="16"/>
    </row>
    <row r="1775" spans="5:16" hidden="1" x14ac:dyDescent="0.25">
      <c r="E1775" s="43">
        <f>COUNTIF($O$7:O1775,FORMULARIO!$AA$2)</f>
        <v>1</v>
      </c>
      <c r="M1775" s="46"/>
      <c r="P1775" s="16"/>
    </row>
    <row r="1776" spans="5:16" hidden="1" x14ac:dyDescent="0.25">
      <c r="E1776" s="43">
        <f>COUNTIF($O$7:O1776,FORMULARIO!$AA$2)</f>
        <v>1</v>
      </c>
      <c r="M1776" s="46"/>
      <c r="P1776" s="16"/>
    </row>
    <row r="1777" spans="5:16" hidden="1" x14ac:dyDescent="0.25">
      <c r="E1777" s="43">
        <f>COUNTIF($O$7:O1777,FORMULARIO!$AA$2)</f>
        <v>1</v>
      </c>
      <c r="M1777" s="46"/>
      <c r="P1777" s="16"/>
    </row>
    <row r="1778" spans="5:16" hidden="1" x14ac:dyDescent="0.25">
      <c r="E1778" s="43">
        <f>COUNTIF($O$7:O1778,FORMULARIO!$AA$2)</f>
        <v>1</v>
      </c>
      <c r="M1778" s="46"/>
      <c r="P1778" s="16"/>
    </row>
    <row r="1779" spans="5:16" hidden="1" x14ac:dyDescent="0.25">
      <c r="E1779" s="43">
        <f>COUNTIF($O$7:O1779,FORMULARIO!$AA$2)</f>
        <v>1</v>
      </c>
      <c r="M1779" s="46"/>
      <c r="P1779" s="16"/>
    </row>
    <row r="1780" spans="5:16" hidden="1" x14ac:dyDescent="0.25">
      <c r="E1780" s="43">
        <f>COUNTIF($O$7:O1780,FORMULARIO!$AA$2)</f>
        <v>1</v>
      </c>
      <c r="M1780" s="46"/>
      <c r="P1780" s="16"/>
    </row>
    <row r="1781" spans="5:16" hidden="1" x14ac:dyDescent="0.25">
      <c r="E1781" s="43">
        <f>COUNTIF($O$7:O1781,FORMULARIO!$AA$2)</f>
        <v>1</v>
      </c>
      <c r="M1781" s="46"/>
      <c r="P1781" s="16"/>
    </row>
    <row r="1782" spans="5:16" hidden="1" x14ac:dyDescent="0.25">
      <c r="E1782" s="43">
        <f>COUNTIF($O$7:O1782,FORMULARIO!$AA$2)</f>
        <v>1</v>
      </c>
      <c r="M1782" s="46"/>
      <c r="P1782" s="16"/>
    </row>
    <row r="1783" spans="5:16" hidden="1" x14ac:dyDescent="0.25">
      <c r="E1783" s="43">
        <f>COUNTIF($O$7:O1783,FORMULARIO!$AA$2)</f>
        <v>1</v>
      </c>
      <c r="M1783" s="46"/>
      <c r="P1783" s="16"/>
    </row>
    <row r="1784" spans="5:16" hidden="1" x14ac:dyDescent="0.25">
      <c r="E1784" s="43">
        <f>COUNTIF($O$7:O1784,FORMULARIO!$AA$2)</f>
        <v>1</v>
      </c>
      <c r="M1784" s="46"/>
      <c r="P1784" s="16"/>
    </row>
    <row r="1785" spans="5:16" hidden="1" x14ac:dyDescent="0.25">
      <c r="E1785" s="43">
        <f>COUNTIF($O$7:O1785,FORMULARIO!$AA$2)</f>
        <v>1</v>
      </c>
      <c r="M1785" s="46"/>
      <c r="P1785" s="16"/>
    </row>
    <row r="1786" spans="5:16" hidden="1" x14ac:dyDescent="0.25">
      <c r="E1786" s="43">
        <f>COUNTIF($O$7:O1786,FORMULARIO!$AA$2)</f>
        <v>1</v>
      </c>
      <c r="M1786" s="46"/>
      <c r="P1786" s="16"/>
    </row>
    <row r="1787" spans="5:16" hidden="1" x14ac:dyDescent="0.25">
      <c r="E1787" s="43">
        <f>COUNTIF($O$7:O1787,FORMULARIO!$AA$2)</f>
        <v>1</v>
      </c>
      <c r="M1787" s="46"/>
      <c r="P1787" s="16"/>
    </row>
    <row r="1788" spans="5:16" hidden="1" x14ac:dyDescent="0.25">
      <c r="E1788" s="43">
        <f>COUNTIF($O$7:O1788,FORMULARIO!$AA$2)</f>
        <v>1</v>
      </c>
      <c r="M1788" s="46"/>
      <c r="P1788" s="16"/>
    </row>
    <row r="1789" spans="5:16" hidden="1" x14ac:dyDescent="0.25">
      <c r="E1789" s="43">
        <f>COUNTIF($O$7:O1789,FORMULARIO!$AA$2)</f>
        <v>1</v>
      </c>
      <c r="M1789" s="46"/>
      <c r="P1789" s="16"/>
    </row>
    <row r="1790" spans="5:16" hidden="1" x14ac:dyDescent="0.25">
      <c r="E1790" s="43">
        <f>COUNTIF($O$7:O1790,FORMULARIO!$AA$2)</f>
        <v>1</v>
      </c>
      <c r="M1790" s="46"/>
      <c r="P1790" s="16"/>
    </row>
    <row r="1791" spans="5:16" hidden="1" x14ac:dyDescent="0.25">
      <c r="E1791" s="43">
        <f>COUNTIF($O$7:O1791,FORMULARIO!$AA$2)</f>
        <v>1</v>
      </c>
      <c r="M1791" s="46"/>
      <c r="P1791" s="16"/>
    </row>
    <row r="1792" spans="5:16" hidden="1" x14ac:dyDescent="0.25">
      <c r="E1792" s="43">
        <f>COUNTIF($O$7:O1792,FORMULARIO!$AA$2)</f>
        <v>1</v>
      </c>
      <c r="M1792" s="46"/>
      <c r="P1792" s="16"/>
    </row>
    <row r="1793" spans="5:16" hidden="1" x14ac:dyDescent="0.25">
      <c r="E1793" s="43">
        <f>COUNTIF($O$7:O1793,FORMULARIO!$AA$2)</f>
        <v>1</v>
      </c>
      <c r="M1793" s="46"/>
      <c r="P1793" s="16"/>
    </row>
    <row r="1794" spans="5:16" hidden="1" x14ac:dyDescent="0.25">
      <c r="E1794" s="43">
        <f>COUNTIF($O$7:O1794,FORMULARIO!$AA$2)</f>
        <v>1</v>
      </c>
      <c r="M1794" s="46"/>
      <c r="P1794" s="16"/>
    </row>
    <row r="1795" spans="5:16" hidden="1" x14ac:dyDescent="0.25">
      <c r="E1795" s="43">
        <f>COUNTIF($O$7:O1795,FORMULARIO!$AA$2)</f>
        <v>1</v>
      </c>
      <c r="M1795" s="46"/>
      <c r="P1795" s="16"/>
    </row>
    <row r="1796" spans="5:16" hidden="1" x14ac:dyDescent="0.25">
      <c r="E1796" s="43">
        <f>COUNTIF($O$7:O1796,FORMULARIO!$AA$2)</f>
        <v>1</v>
      </c>
      <c r="M1796" s="46"/>
      <c r="P1796" s="16"/>
    </row>
    <row r="1797" spans="5:16" hidden="1" x14ac:dyDescent="0.25">
      <c r="E1797" s="43">
        <f>COUNTIF($O$7:O1797,FORMULARIO!$AA$2)</f>
        <v>1</v>
      </c>
      <c r="M1797" s="46"/>
      <c r="P1797" s="16"/>
    </row>
    <row r="1798" spans="5:16" hidden="1" x14ac:dyDescent="0.25">
      <c r="E1798" s="43">
        <f>COUNTIF($O$7:O1798,FORMULARIO!$AA$2)</f>
        <v>1</v>
      </c>
      <c r="M1798" s="46"/>
      <c r="P1798" s="16"/>
    </row>
    <row r="1799" spans="5:16" hidden="1" x14ac:dyDescent="0.25">
      <c r="E1799" s="43">
        <f>COUNTIF($O$7:O1799,FORMULARIO!$AA$2)</f>
        <v>1</v>
      </c>
      <c r="M1799" s="46"/>
      <c r="P1799" s="16"/>
    </row>
    <row r="1800" spans="5:16" hidden="1" x14ac:dyDescent="0.25">
      <c r="E1800" s="43">
        <f>COUNTIF($O$7:O1800,FORMULARIO!$AA$2)</f>
        <v>1</v>
      </c>
      <c r="M1800" s="46"/>
      <c r="P1800" s="16"/>
    </row>
    <row r="1801" spans="5:16" hidden="1" x14ac:dyDescent="0.25">
      <c r="E1801" s="43">
        <f>COUNTIF($O$7:O1801,FORMULARIO!$AA$2)</f>
        <v>1</v>
      </c>
      <c r="M1801" s="46"/>
      <c r="P1801" s="16"/>
    </row>
    <row r="1802" spans="5:16" hidden="1" x14ac:dyDescent="0.25">
      <c r="E1802" s="43">
        <f>COUNTIF($O$7:O1802,FORMULARIO!$AA$2)</f>
        <v>1</v>
      </c>
      <c r="M1802" s="46"/>
      <c r="P1802" s="16"/>
    </row>
    <row r="1803" spans="5:16" hidden="1" x14ac:dyDescent="0.25">
      <c r="E1803" s="43">
        <f>COUNTIF($O$7:O1803,FORMULARIO!$AA$2)</f>
        <v>1</v>
      </c>
      <c r="M1803" s="46"/>
      <c r="P1803" s="16"/>
    </row>
    <row r="1804" spans="5:16" hidden="1" x14ac:dyDescent="0.25">
      <c r="E1804" s="43">
        <f>COUNTIF($O$7:O1804,FORMULARIO!$AA$2)</f>
        <v>1</v>
      </c>
      <c r="M1804" s="46"/>
      <c r="P1804" s="16"/>
    </row>
    <row r="1805" spans="5:16" hidden="1" x14ac:dyDescent="0.25">
      <c r="E1805" s="43">
        <f>COUNTIF($O$7:O1805,FORMULARIO!$AA$2)</f>
        <v>1</v>
      </c>
      <c r="M1805" s="46"/>
      <c r="P1805" s="16"/>
    </row>
    <row r="1806" spans="5:16" hidden="1" x14ac:dyDescent="0.25">
      <c r="E1806" s="43">
        <f>COUNTIF($O$7:O1806,FORMULARIO!$AA$2)</f>
        <v>1</v>
      </c>
      <c r="M1806" s="46"/>
      <c r="P1806" s="16"/>
    </row>
    <row r="1807" spans="5:16" hidden="1" x14ac:dyDescent="0.25">
      <c r="E1807" s="43">
        <f>COUNTIF($O$7:O1807,FORMULARIO!$AA$2)</f>
        <v>1</v>
      </c>
      <c r="M1807" s="46"/>
      <c r="P1807" s="16"/>
    </row>
    <row r="1808" spans="5:16" hidden="1" x14ac:dyDescent="0.25">
      <c r="E1808" s="43">
        <f>COUNTIF($O$7:O1808,FORMULARIO!$AA$2)</f>
        <v>1</v>
      </c>
      <c r="M1808" s="46"/>
      <c r="P1808" s="16"/>
    </row>
    <row r="1809" spans="5:16" hidden="1" x14ac:dyDescent="0.25">
      <c r="E1809" s="43">
        <f>COUNTIF($O$7:O1809,FORMULARIO!$AA$2)</f>
        <v>1</v>
      </c>
      <c r="M1809" s="46"/>
      <c r="P1809" s="16"/>
    </row>
    <row r="1810" spans="5:16" hidden="1" x14ac:dyDescent="0.25">
      <c r="E1810" s="43">
        <f>COUNTIF($O$7:O1810,FORMULARIO!$AA$2)</f>
        <v>1</v>
      </c>
      <c r="M1810" s="46"/>
      <c r="P1810" s="16"/>
    </row>
    <row r="1811" spans="5:16" hidden="1" x14ac:dyDescent="0.25">
      <c r="E1811" s="43">
        <f>COUNTIF($O$7:O1811,FORMULARIO!$AA$2)</f>
        <v>1</v>
      </c>
      <c r="M1811" s="46"/>
      <c r="P1811" s="16"/>
    </row>
    <row r="1812" spans="5:16" hidden="1" x14ac:dyDescent="0.25">
      <c r="E1812" s="43">
        <f>COUNTIF($O$7:O1812,FORMULARIO!$AA$2)</f>
        <v>1</v>
      </c>
      <c r="M1812" s="46"/>
      <c r="P1812" s="16"/>
    </row>
    <row r="1813" spans="5:16" hidden="1" x14ac:dyDescent="0.25">
      <c r="E1813" s="43">
        <f>COUNTIF($O$7:O1813,FORMULARIO!$AA$2)</f>
        <v>1</v>
      </c>
      <c r="M1813" s="46"/>
      <c r="P1813" s="16"/>
    </row>
    <row r="1814" spans="5:16" hidden="1" x14ac:dyDescent="0.25">
      <c r="E1814" s="43">
        <f>COUNTIF($O$7:O1814,FORMULARIO!$AA$2)</f>
        <v>1</v>
      </c>
      <c r="M1814" s="46"/>
      <c r="P1814" s="16"/>
    </row>
    <row r="1815" spans="5:16" hidden="1" x14ac:dyDescent="0.25">
      <c r="E1815" s="43">
        <f>COUNTIF($O$7:O1815,FORMULARIO!$AA$2)</f>
        <v>1</v>
      </c>
      <c r="M1815" s="46"/>
      <c r="P1815" s="16"/>
    </row>
    <row r="1816" spans="5:16" hidden="1" x14ac:dyDescent="0.25">
      <c r="E1816" s="43">
        <f>COUNTIF($O$7:O1816,FORMULARIO!$AA$2)</f>
        <v>1</v>
      </c>
      <c r="M1816" s="46"/>
      <c r="P1816" s="16"/>
    </row>
    <row r="1817" spans="5:16" hidden="1" x14ac:dyDescent="0.25">
      <c r="E1817" s="43">
        <f>COUNTIF($O$7:O1817,FORMULARIO!$AA$2)</f>
        <v>1</v>
      </c>
      <c r="M1817" s="46"/>
      <c r="P1817" s="16"/>
    </row>
    <row r="1818" spans="5:16" hidden="1" x14ac:dyDescent="0.25">
      <c r="E1818" s="43">
        <f>COUNTIF($O$7:O1818,FORMULARIO!$AA$2)</f>
        <v>1</v>
      </c>
      <c r="M1818" s="46"/>
      <c r="P1818" s="16"/>
    </row>
    <row r="1819" spans="5:16" hidden="1" x14ac:dyDescent="0.25">
      <c r="E1819" s="43">
        <f>COUNTIF($O$7:O1819,FORMULARIO!$AA$2)</f>
        <v>1</v>
      </c>
      <c r="M1819" s="46"/>
      <c r="P1819" s="16"/>
    </row>
    <row r="1820" spans="5:16" hidden="1" x14ac:dyDescent="0.25">
      <c r="E1820" s="43">
        <f>COUNTIF($O$7:O1820,FORMULARIO!$AA$2)</f>
        <v>1</v>
      </c>
      <c r="M1820" s="46"/>
      <c r="P1820" s="16"/>
    </row>
    <row r="1821" spans="5:16" hidden="1" x14ac:dyDescent="0.25">
      <c r="E1821" s="43">
        <f>COUNTIF($O$7:O1821,FORMULARIO!$AA$2)</f>
        <v>1</v>
      </c>
      <c r="M1821" s="46"/>
      <c r="P1821" s="16"/>
    </row>
    <row r="1822" spans="5:16" hidden="1" x14ac:dyDescent="0.25">
      <c r="E1822" s="43">
        <f>COUNTIF($O$7:O1822,FORMULARIO!$AA$2)</f>
        <v>1</v>
      </c>
      <c r="M1822" s="46"/>
      <c r="P1822" s="16"/>
    </row>
    <row r="1823" spans="5:16" hidden="1" x14ac:dyDescent="0.25">
      <c r="E1823" s="43">
        <f>COUNTIF($O$7:O1823,FORMULARIO!$AA$2)</f>
        <v>1</v>
      </c>
      <c r="M1823" s="46"/>
      <c r="P1823" s="16"/>
    </row>
    <row r="1824" spans="5:16" hidden="1" x14ac:dyDescent="0.25">
      <c r="E1824" s="43">
        <f>COUNTIF($O$7:O1824,FORMULARIO!$AA$2)</f>
        <v>1</v>
      </c>
      <c r="M1824" s="46"/>
      <c r="P1824" s="16"/>
    </row>
    <row r="1825" spans="5:16" hidden="1" x14ac:dyDescent="0.25">
      <c r="E1825" s="43">
        <f>COUNTIF($O$7:O1825,FORMULARIO!$AA$2)</f>
        <v>1</v>
      </c>
      <c r="M1825" s="46"/>
      <c r="P1825" s="16"/>
    </row>
    <row r="1826" spans="5:16" hidden="1" x14ac:dyDescent="0.25">
      <c r="E1826" s="43">
        <f>COUNTIF($O$7:O1826,FORMULARIO!$AA$2)</f>
        <v>1</v>
      </c>
      <c r="M1826" s="46"/>
      <c r="P1826" s="16"/>
    </row>
    <row r="1827" spans="5:16" hidden="1" x14ac:dyDescent="0.25">
      <c r="E1827" s="43">
        <f>COUNTIF($O$7:O1827,FORMULARIO!$AA$2)</f>
        <v>1</v>
      </c>
      <c r="M1827" s="46"/>
      <c r="P1827" s="16"/>
    </row>
    <row r="1828" spans="5:16" hidden="1" x14ac:dyDescent="0.25">
      <c r="E1828" s="43">
        <f>COUNTIF($O$7:O1828,FORMULARIO!$AA$2)</f>
        <v>1</v>
      </c>
      <c r="M1828" s="46"/>
      <c r="P1828" s="16"/>
    </row>
    <row r="1829" spans="5:16" hidden="1" x14ac:dyDescent="0.25">
      <c r="E1829" s="43">
        <f>COUNTIF($O$7:O1829,FORMULARIO!$AA$2)</f>
        <v>1</v>
      </c>
      <c r="M1829" s="46"/>
      <c r="P1829" s="16"/>
    </row>
    <row r="1830" spans="5:16" hidden="1" x14ac:dyDescent="0.25">
      <c r="E1830" s="43">
        <f>COUNTIF($O$7:O1830,FORMULARIO!$AA$2)</f>
        <v>1</v>
      </c>
      <c r="M1830" s="46"/>
      <c r="P1830" s="16"/>
    </row>
    <row r="1831" spans="5:16" hidden="1" x14ac:dyDescent="0.25">
      <c r="E1831" s="43">
        <f>COUNTIF($O$7:O1831,FORMULARIO!$AA$2)</f>
        <v>1</v>
      </c>
      <c r="M1831" s="46"/>
      <c r="P1831" s="16"/>
    </row>
    <row r="1832" spans="5:16" hidden="1" x14ac:dyDescent="0.25">
      <c r="E1832" s="43">
        <f>COUNTIF($O$7:O1832,FORMULARIO!$AA$2)</f>
        <v>1</v>
      </c>
      <c r="M1832" s="46"/>
      <c r="P1832" s="16"/>
    </row>
    <row r="1833" spans="5:16" hidden="1" x14ac:dyDescent="0.25">
      <c r="E1833" s="43">
        <f>COUNTIF($O$7:O1833,FORMULARIO!$AA$2)</f>
        <v>1</v>
      </c>
      <c r="M1833" s="46"/>
      <c r="P1833" s="16"/>
    </row>
    <row r="1834" spans="5:16" hidden="1" x14ac:dyDescent="0.25">
      <c r="E1834" s="43">
        <f>COUNTIF($O$7:O1834,FORMULARIO!$AA$2)</f>
        <v>1</v>
      </c>
      <c r="M1834" s="46"/>
      <c r="P1834" s="16"/>
    </row>
    <row r="1835" spans="5:16" hidden="1" x14ac:dyDescent="0.25">
      <c r="E1835" s="43">
        <f>COUNTIF($O$7:O1835,FORMULARIO!$AA$2)</f>
        <v>1</v>
      </c>
      <c r="M1835" s="46"/>
      <c r="P1835" s="16"/>
    </row>
    <row r="1836" spans="5:16" hidden="1" x14ac:dyDescent="0.25">
      <c r="E1836" s="43">
        <f>COUNTIF($O$7:O1836,FORMULARIO!$AA$2)</f>
        <v>1</v>
      </c>
      <c r="M1836" s="46"/>
      <c r="P1836" s="16"/>
    </row>
    <row r="1837" spans="5:16" hidden="1" x14ac:dyDescent="0.25">
      <c r="E1837" s="43">
        <f>COUNTIF($O$7:O1837,FORMULARIO!$AA$2)</f>
        <v>1</v>
      </c>
      <c r="M1837" s="46"/>
      <c r="P1837" s="16"/>
    </row>
    <row r="1838" spans="5:16" hidden="1" x14ac:dyDescent="0.25">
      <c r="E1838" s="43">
        <f>COUNTIF($O$7:O1838,FORMULARIO!$AA$2)</f>
        <v>1</v>
      </c>
      <c r="M1838" s="46"/>
      <c r="P1838" s="16"/>
    </row>
    <row r="1839" spans="5:16" hidden="1" x14ac:dyDescent="0.25">
      <c r="E1839" s="43">
        <f>COUNTIF($O$7:O1839,FORMULARIO!$AA$2)</f>
        <v>1</v>
      </c>
      <c r="M1839" s="46"/>
      <c r="P1839" s="16"/>
    </row>
    <row r="1840" spans="5:16" hidden="1" x14ac:dyDescent="0.25">
      <c r="E1840" s="43">
        <f>COUNTIF($O$7:O1840,FORMULARIO!$AA$2)</f>
        <v>1</v>
      </c>
      <c r="M1840" s="46"/>
      <c r="P1840" s="16"/>
    </row>
    <row r="1841" spans="5:16" hidden="1" x14ac:dyDescent="0.25">
      <c r="E1841" s="43">
        <f>COUNTIF($O$7:O1841,FORMULARIO!$AA$2)</f>
        <v>1</v>
      </c>
      <c r="M1841" s="46"/>
      <c r="P1841" s="16"/>
    </row>
    <row r="1842" spans="5:16" hidden="1" x14ac:dyDescent="0.25">
      <c r="E1842" s="43">
        <f>COUNTIF($O$7:O1842,FORMULARIO!$AA$2)</f>
        <v>1</v>
      </c>
      <c r="M1842" s="46"/>
      <c r="P1842" s="16"/>
    </row>
    <row r="1843" spans="5:16" hidden="1" x14ac:dyDescent="0.25">
      <c r="E1843" s="43">
        <f>COUNTIF($O$7:O1843,FORMULARIO!$AA$2)</f>
        <v>1</v>
      </c>
      <c r="M1843" s="46"/>
      <c r="P1843" s="16"/>
    </row>
    <row r="1844" spans="5:16" hidden="1" x14ac:dyDescent="0.25">
      <c r="E1844" s="43">
        <f>COUNTIF($O$7:O1844,FORMULARIO!$AA$2)</f>
        <v>1</v>
      </c>
      <c r="M1844" s="46"/>
      <c r="P1844" s="16"/>
    </row>
    <row r="1845" spans="5:16" hidden="1" x14ac:dyDescent="0.25">
      <c r="E1845" s="43">
        <f>COUNTIF($O$7:O1845,FORMULARIO!$AA$2)</f>
        <v>1</v>
      </c>
      <c r="M1845" s="46"/>
      <c r="P1845" s="16"/>
    </row>
    <row r="1846" spans="5:16" hidden="1" x14ac:dyDescent="0.25">
      <c r="E1846" s="43">
        <f>COUNTIF($O$7:O1846,FORMULARIO!$AA$2)</f>
        <v>1</v>
      </c>
      <c r="M1846" s="46"/>
      <c r="P1846" s="16"/>
    </row>
    <row r="1847" spans="5:16" hidden="1" x14ac:dyDescent="0.25">
      <c r="E1847" s="43">
        <f>COUNTIF($O$7:O1847,FORMULARIO!$AA$2)</f>
        <v>1</v>
      </c>
      <c r="M1847" s="46"/>
      <c r="P1847" s="16"/>
    </row>
    <row r="1848" spans="5:16" hidden="1" x14ac:dyDescent="0.25">
      <c r="E1848" s="43">
        <f>COUNTIF($O$7:O1848,FORMULARIO!$AA$2)</f>
        <v>1</v>
      </c>
      <c r="M1848" s="46"/>
      <c r="P1848" s="16"/>
    </row>
    <row r="1849" spans="5:16" hidden="1" x14ac:dyDescent="0.25">
      <c r="E1849" s="43">
        <f>COUNTIF($O$7:O1849,FORMULARIO!$AA$2)</f>
        <v>1</v>
      </c>
      <c r="M1849" s="46"/>
      <c r="P1849" s="16"/>
    </row>
    <row r="1850" spans="5:16" hidden="1" x14ac:dyDescent="0.25">
      <c r="E1850" s="43">
        <f>COUNTIF($O$7:O1850,FORMULARIO!$AA$2)</f>
        <v>1</v>
      </c>
      <c r="M1850" s="46"/>
      <c r="P1850" s="16"/>
    </row>
    <row r="1851" spans="5:16" hidden="1" x14ac:dyDescent="0.25">
      <c r="E1851" s="43">
        <f>COUNTIF($O$7:O1851,FORMULARIO!$AA$2)</f>
        <v>1</v>
      </c>
      <c r="M1851" s="46"/>
      <c r="P1851" s="16"/>
    </row>
    <row r="1852" spans="5:16" hidden="1" x14ac:dyDescent="0.25">
      <c r="E1852" s="43">
        <f>COUNTIF($O$7:O1852,FORMULARIO!$AA$2)</f>
        <v>1</v>
      </c>
      <c r="M1852" s="46"/>
      <c r="P1852" s="16"/>
    </row>
    <row r="1853" spans="5:16" hidden="1" x14ac:dyDescent="0.25">
      <c r="E1853" s="43">
        <f>COUNTIF($O$7:O1853,FORMULARIO!$AA$2)</f>
        <v>1</v>
      </c>
      <c r="M1853" s="46"/>
      <c r="P1853" s="16"/>
    </row>
    <row r="1854" spans="5:16" hidden="1" x14ac:dyDescent="0.25">
      <c r="E1854" s="43">
        <f>COUNTIF($O$7:O1854,FORMULARIO!$AA$2)</f>
        <v>1</v>
      </c>
      <c r="M1854" s="46"/>
      <c r="P1854" s="16"/>
    </row>
    <row r="1855" spans="5:16" hidden="1" x14ac:dyDescent="0.25">
      <c r="E1855" s="43">
        <f>COUNTIF($O$7:O1855,FORMULARIO!$AA$2)</f>
        <v>1</v>
      </c>
      <c r="M1855" s="46"/>
      <c r="P1855" s="16"/>
    </row>
    <row r="1856" spans="5:16" hidden="1" x14ac:dyDescent="0.25">
      <c r="E1856" s="43">
        <f>COUNTIF($O$7:O1856,FORMULARIO!$AA$2)</f>
        <v>1</v>
      </c>
      <c r="M1856" s="46"/>
      <c r="P1856" s="16"/>
    </row>
    <row r="1857" spans="5:16" hidden="1" x14ac:dyDescent="0.25">
      <c r="E1857" s="43">
        <f>COUNTIF($O$7:O1857,FORMULARIO!$AA$2)</f>
        <v>1</v>
      </c>
      <c r="M1857" s="46"/>
      <c r="P1857" s="16"/>
    </row>
    <row r="1858" spans="5:16" hidden="1" x14ac:dyDescent="0.25">
      <c r="E1858" s="43">
        <f>COUNTIF($O$7:O1858,FORMULARIO!$AA$2)</f>
        <v>1</v>
      </c>
      <c r="M1858" s="46"/>
      <c r="P1858" s="16"/>
    </row>
    <row r="1859" spans="5:16" hidden="1" x14ac:dyDescent="0.25">
      <c r="E1859" s="43">
        <f>COUNTIF($O$7:O1859,FORMULARIO!$AA$2)</f>
        <v>1</v>
      </c>
      <c r="M1859" s="46"/>
      <c r="P1859" s="16"/>
    </row>
    <row r="1860" spans="5:16" hidden="1" x14ac:dyDescent="0.25">
      <c r="E1860" s="43">
        <f>COUNTIF($O$7:O1860,FORMULARIO!$AA$2)</f>
        <v>1</v>
      </c>
      <c r="M1860" s="46"/>
      <c r="P1860" s="16"/>
    </row>
    <row r="1861" spans="5:16" hidden="1" x14ac:dyDescent="0.25">
      <c r="E1861" s="43">
        <f>COUNTIF($O$7:O1861,FORMULARIO!$AA$2)</f>
        <v>1</v>
      </c>
      <c r="M1861" s="46"/>
      <c r="P1861" s="16"/>
    </row>
    <row r="1862" spans="5:16" hidden="1" x14ac:dyDescent="0.25">
      <c r="E1862" s="43">
        <f>COUNTIF($O$7:O1862,FORMULARIO!$AA$2)</f>
        <v>1</v>
      </c>
      <c r="M1862" s="46"/>
      <c r="P1862" s="16"/>
    </row>
    <row r="1863" spans="5:16" hidden="1" x14ac:dyDescent="0.25">
      <c r="E1863" s="43">
        <f>COUNTIF($O$7:O1863,FORMULARIO!$AA$2)</f>
        <v>1</v>
      </c>
      <c r="M1863" s="46"/>
      <c r="P1863" s="16"/>
    </row>
    <row r="1864" spans="5:16" hidden="1" x14ac:dyDescent="0.25">
      <c r="E1864" s="43">
        <f>COUNTIF($O$7:O1864,FORMULARIO!$AA$2)</f>
        <v>1</v>
      </c>
      <c r="M1864" s="46"/>
      <c r="P1864" s="16"/>
    </row>
    <row r="1865" spans="5:16" hidden="1" x14ac:dyDescent="0.25">
      <c r="E1865" s="43">
        <f>COUNTIF($O$7:O1865,FORMULARIO!$AA$2)</f>
        <v>1</v>
      </c>
      <c r="M1865" s="46"/>
      <c r="P1865" s="16"/>
    </row>
    <row r="1866" spans="5:16" hidden="1" x14ac:dyDescent="0.25">
      <c r="E1866" s="43">
        <f>COUNTIF($O$7:O1866,FORMULARIO!$AA$2)</f>
        <v>1</v>
      </c>
      <c r="M1866" s="46"/>
      <c r="P1866" s="16"/>
    </row>
    <row r="1867" spans="5:16" hidden="1" x14ac:dyDescent="0.25">
      <c r="E1867" s="43">
        <f>COUNTIF($O$7:O1867,FORMULARIO!$AA$2)</f>
        <v>1</v>
      </c>
      <c r="M1867" s="46"/>
      <c r="P1867" s="16"/>
    </row>
    <row r="1868" spans="5:16" hidden="1" x14ac:dyDescent="0.25">
      <c r="E1868" s="43">
        <f>COUNTIF($O$7:O1868,FORMULARIO!$AA$2)</f>
        <v>1</v>
      </c>
      <c r="M1868" s="46"/>
      <c r="P1868" s="16"/>
    </row>
    <row r="1869" spans="5:16" hidden="1" x14ac:dyDescent="0.25">
      <c r="E1869" s="43">
        <f>COUNTIF($O$7:O1869,FORMULARIO!$AA$2)</f>
        <v>1</v>
      </c>
      <c r="M1869" s="46"/>
      <c r="P1869" s="16"/>
    </row>
    <row r="1870" spans="5:16" hidden="1" x14ac:dyDescent="0.25">
      <c r="E1870" s="43">
        <f>COUNTIF($O$7:O1870,FORMULARIO!$AA$2)</f>
        <v>1</v>
      </c>
      <c r="M1870" s="46"/>
      <c r="P1870" s="16"/>
    </row>
    <row r="1871" spans="5:16" hidden="1" x14ac:dyDescent="0.25">
      <c r="E1871" s="43">
        <f>COUNTIF($O$7:O1871,FORMULARIO!$AA$2)</f>
        <v>1</v>
      </c>
      <c r="M1871" s="46"/>
      <c r="P1871" s="16"/>
    </row>
    <row r="1872" spans="5:16" hidden="1" x14ac:dyDescent="0.25">
      <c r="E1872" s="43">
        <f>COUNTIF($O$7:O1872,FORMULARIO!$AA$2)</f>
        <v>1</v>
      </c>
      <c r="M1872" s="46"/>
      <c r="P1872" s="16"/>
    </row>
    <row r="1873" spans="5:16" hidden="1" x14ac:dyDescent="0.25">
      <c r="E1873" s="43">
        <f>COUNTIF($O$7:O1873,FORMULARIO!$AA$2)</f>
        <v>1</v>
      </c>
      <c r="M1873" s="46"/>
      <c r="P1873" s="16"/>
    </row>
    <row r="1874" spans="5:16" hidden="1" x14ac:dyDescent="0.25">
      <c r="E1874" s="43">
        <f>COUNTIF($O$7:O1874,FORMULARIO!$AA$2)</f>
        <v>1</v>
      </c>
      <c r="M1874" s="46"/>
      <c r="P1874" s="16"/>
    </row>
    <row r="1875" spans="5:16" hidden="1" x14ac:dyDescent="0.25">
      <c r="E1875" s="43">
        <f>COUNTIF($O$7:O1875,FORMULARIO!$AA$2)</f>
        <v>1</v>
      </c>
      <c r="M1875" s="46"/>
      <c r="P1875" s="16"/>
    </row>
    <row r="1876" spans="5:16" hidden="1" x14ac:dyDescent="0.25">
      <c r="E1876" s="43">
        <f>COUNTIF($O$7:O1876,FORMULARIO!$AA$2)</f>
        <v>1</v>
      </c>
      <c r="M1876" s="46"/>
      <c r="P1876" s="16"/>
    </row>
    <row r="1877" spans="5:16" hidden="1" x14ac:dyDescent="0.25">
      <c r="E1877" s="43">
        <f>COUNTIF($O$7:O1877,FORMULARIO!$AA$2)</f>
        <v>1</v>
      </c>
      <c r="M1877" s="46"/>
      <c r="P1877" s="16"/>
    </row>
    <row r="1878" spans="5:16" hidden="1" x14ac:dyDescent="0.25">
      <c r="E1878" s="43">
        <f>COUNTIF($O$7:O1878,FORMULARIO!$AA$2)</f>
        <v>1</v>
      </c>
      <c r="M1878" s="46"/>
      <c r="P1878" s="16"/>
    </row>
    <row r="1879" spans="5:16" hidden="1" x14ac:dyDescent="0.25">
      <c r="E1879" s="43">
        <f>COUNTIF($O$7:O1879,FORMULARIO!$AA$2)</f>
        <v>1</v>
      </c>
      <c r="M1879" s="46"/>
      <c r="P1879" s="16"/>
    </row>
    <row r="1880" spans="5:16" hidden="1" x14ac:dyDescent="0.25">
      <c r="E1880" s="43">
        <f>COUNTIF($O$7:O1880,FORMULARIO!$AA$2)</f>
        <v>1</v>
      </c>
      <c r="M1880" s="46"/>
      <c r="P1880" s="16"/>
    </row>
    <row r="1881" spans="5:16" hidden="1" x14ac:dyDescent="0.25">
      <c r="E1881" s="43">
        <f>COUNTIF($O$7:O1881,FORMULARIO!$AA$2)</f>
        <v>1</v>
      </c>
      <c r="M1881" s="46"/>
      <c r="P1881" s="16"/>
    </row>
    <row r="1882" spans="5:16" hidden="1" x14ac:dyDescent="0.25">
      <c r="E1882" s="43">
        <f>COUNTIF($O$7:O1882,FORMULARIO!$AA$2)</f>
        <v>1</v>
      </c>
      <c r="M1882" s="46"/>
      <c r="P1882" s="16"/>
    </row>
    <row r="1883" spans="5:16" hidden="1" x14ac:dyDescent="0.25">
      <c r="E1883" s="43">
        <f>COUNTIF($O$7:O1883,FORMULARIO!$AA$2)</f>
        <v>1</v>
      </c>
      <c r="M1883" s="46"/>
      <c r="P1883" s="16"/>
    </row>
    <row r="1884" spans="5:16" hidden="1" x14ac:dyDescent="0.25">
      <c r="E1884" s="43">
        <f>COUNTIF($O$7:O1884,FORMULARIO!$AA$2)</f>
        <v>1</v>
      </c>
      <c r="M1884" s="46"/>
      <c r="P1884" s="16"/>
    </row>
    <row r="1885" spans="5:16" hidden="1" x14ac:dyDescent="0.25">
      <c r="E1885" s="43">
        <f>COUNTIF($O$7:O1885,FORMULARIO!$AA$2)</f>
        <v>1</v>
      </c>
      <c r="M1885" s="46"/>
      <c r="P1885" s="16"/>
    </row>
    <row r="1886" spans="5:16" hidden="1" x14ac:dyDescent="0.25">
      <c r="E1886" s="43">
        <f>COUNTIF($O$7:O1886,FORMULARIO!$AA$2)</f>
        <v>1</v>
      </c>
      <c r="M1886" s="46"/>
      <c r="P1886" s="16"/>
    </row>
    <row r="1887" spans="5:16" hidden="1" x14ac:dyDescent="0.25">
      <c r="E1887" s="43">
        <f>COUNTIF($O$7:O1887,FORMULARIO!$AA$2)</f>
        <v>1</v>
      </c>
      <c r="M1887" s="46"/>
      <c r="P1887" s="16"/>
    </row>
    <row r="1888" spans="5:16" hidden="1" x14ac:dyDescent="0.25">
      <c r="E1888" s="43">
        <f>COUNTIF($O$7:O1888,FORMULARIO!$AA$2)</f>
        <v>1</v>
      </c>
      <c r="M1888" s="46"/>
      <c r="P1888" s="16"/>
    </row>
    <row r="1889" spans="5:16" hidden="1" x14ac:dyDescent="0.25">
      <c r="E1889" s="43">
        <f>COUNTIF($O$7:O1889,FORMULARIO!$AA$2)</f>
        <v>1</v>
      </c>
      <c r="M1889" s="46"/>
      <c r="P1889" s="16"/>
    </row>
    <row r="1890" spans="5:16" hidden="1" x14ac:dyDescent="0.25">
      <c r="E1890" s="43">
        <f>COUNTIF($O$7:O1890,FORMULARIO!$AA$2)</f>
        <v>1</v>
      </c>
      <c r="M1890" s="46"/>
      <c r="P1890" s="16"/>
    </row>
    <row r="1891" spans="5:16" hidden="1" x14ac:dyDescent="0.25">
      <c r="E1891" s="43">
        <f>COUNTIF($O$7:O1891,FORMULARIO!$AA$2)</f>
        <v>1</v>
      </c>
      <c r="M1891" s="46"/>
      <c r="P1891" s="16"/>
    </row>
    <row r="1892" spans="5:16" hidden="1" x14ac:dyDescent="0.25">
      <c r="E1892" s="43">
        <f>COUNTIF($O$7:O1892,FORMULARIO!$AA$2)</f>
        <v>1</v>
      </c>
      <c r="M1892" s="46"/>
      <c r="P1892" s="16"/>
    </row>
    <row r="1893" spans="5:16" hidden="1" x14ac:dyDescent="0.25">
      <c r="E1893" s="43">
        <f>COUNTIF($O$7:O1893,FORMULARIO!$AA$2)</f>
        <v>1</v>
      </c>
      <c r="M1893" s="46"/>
      <c r="P1893" s="16"/>
    </row>
    <row r="1894" spans="5:16" hidden="1" x14ac:dyDescent="0.25">
      <c r="E1894" s="43">
        <f>COUNTIF($O$7:O1894,FORMULARIO!$AA$2)</f>
        <v>1</v>
      </c>
      <c r="M1894" s="46"/>
      <c r="P1894" s="16"/>
    </row>
    <row r="1895" spans="5:16" hidden="1" x14ac:dyDescent="0.25">
      <c r="E1895" s="43">
        <f>COUNTIF($O$7:O1895,FORMULARIO!$AA$2)</f>
        <v>1</v>
      </c>
      <c r="M1895" s="46"/>
      <c r="P1895" s="16"/>
    </row>
    <row r="1896" spans="5:16" hidden="1" x14ac:dyDescent="0.25">
      <c r="E1896" s="43">
        <f>COUNTIF($O$7:O1896,FORMULARIO!$AA$2)</f>
        <v>1</v>
      </c>
      <c r="M1896" s="46"/>
      <c r="P1896" s="16"/>
    </row>
    <row r="1897" spans="5:16" hidden="1" x14ac:dyDescent="0.25">
      <c r="E1897" s="43">
        <f>COUNTIF($O$7:O1897,FORMULARIO!$AA$2)</f>
        <v>1</v>
      </c>
      <c r="M1897" s="46"/>
      <c r="P1897" s="16"/>
    </row>
    <row r="1898" spans="5:16" hidden="1" x14ac:dyDescent="0.25">
      <c r="E1898" s="43">
        <f>COUNTIF($O$7:O1898,FORMULARIO!$AA$2)</f>
        <v>1</v>
      </c>
      <c r="M1898" s="46"/>
      <c r="P1898" s="16"/>
    </row>
    <row r="1899" spans="5:16" hidden="1" x14ac:dyDescent="0.25">
      <c r="E1899" s="43">
        <f>COUNTIF($O$7:O1899,FORMULARIO!$AA$2)</f>
        <v>1</v>
      </c>
      <c r="M1899" s="46"/>
      <c r="P1899" s="16"/>
    </row>
    <row r="1900" spans="5:16" hidden="1" x14ac:dyDescent="0.25">
      <c r="E1900" s="43">
        <f>COUNTIF($O$7:O1900,FORMULARIO!$AA$2)</f>
        <v>1</v>
      </c>
      <c r="M1900" s="46"/>
      <c r="P1900" s="16"/>
    </row>
    <row r="1901" spans="5:16" hidden="1" x14ac:dyDescent="0.25">
      <c r="E1901" s="43">
        <f>COUNTIF($O$7:O1901,FORMULARIO!$AA$2)</f>
        <v>1</v>
      </c>
      <c r="M1901" s="46"/>
      <c r="P1901" s="16"/>
    </row>
    <row r="1902" spans="5:16" hidden="1" x14ac:dyDescent="0.25">
      <c r="E1902" s="43">
        <f>COUNTIF($O$7:O1902,FORMULARIO!$AA$2)</f>
        <v>1</v>
      </c>
      <c r="M1902" s="46"/>
      <c r="P1902" s="16"/>
    </row>
    <row r="1903" spans="5:16" hidden="1" x14ac:dyDescent="0.25">
      <c r="E1903" s="43">
        <f>COUNTIF($O$7:O1903,FORMULARIO!$AA$2)</f>
        <v>1</v>
      </c>
      <c r="M1903" s="46"/>
      <c r="P1903" s="16"/>
    </row>
    <row r="1904" spans="5:16" hidden="1" x14ac:dyDescent="0.25">
      <c r="E1904" s="43">
        <f>COUNTIF($O$7:O1904,FORMULARIO!$AA$2)</f>
        <v>1</v>
      </c>
      <c r="M1904" s="46"/>
      <c r="P1904" s="16"/>
    </row>
    <row r="1905" spans="5:16" hidden="1" x14ac:dyDescent="0.25">
      <c r="E1905" s="43">
        <f>COUNTIF($O$7:O1905,FORMULARIO!$AA$2)</f>
        <v>1</v>
      </c>
      <c r="M1905" s="46"/>
      <c r="P1905" s="16"/>
    </row>
    <row r="1906" spans="5:16" hidden="1" x14ac:dyDescent="0.25">
      <c r="E1906" s="43">
        <f>COUNTIF($O$7:O1906,FORMULARIO!$AA$2)</f>
        <v>1</v>
      </c>
      <c r="M1906" s="46"/>
      <c r="P1906" s="16"/>
    </row>
    <row r="1907" spans="5:16" hidden="1" x14ac:dyDescent="0.25">
      <c r="E1907" s="43">
        <f>COUNTIF($O$7:O1907,FORMULARIO!$AA$2)</f>
        <v>1</v>
      </c>
      <c r="M1907" s="46"/>
      <c r="P1907" s="16"/>
    </row>
    <row r="1908" spans="5:16" hidden="1" x14ac:dyDescent="0.25">
      <c r="E1908" s="43">
        <f>COUNTIF($O$7:O1908,FORMULARIO!$AA$2)</f>
        <v>1</v>
      </c>
      <c r="M1908" s="46"/>
      <c r="P1908" s="16"/>
    </row>
    <row r="1909" spans="5:16" hidden="1" x14ac:dyDescent="0.25">
      <c r="E1909" s="43">
        <f>COUNTIF($O$7:O1909,FORMULARIO!$AA$2)</f>
        <v>1</v>
      </c>
      <c r="M1909" s="46"/>
      <c r="P1909" s="16"/>
    </row>
    <row r="1910" spans="5:16" hidden="1" x14ac:dyDescent="0.25">
      <c r="E1910" s="43">
        <f>COUNTIF($O$7:O1910,FORMULARIO!$AA$2)</f>
        <v>1</v>
      </c>
      <c r="M1910" s="46"/>
      <c r="P1910" s="16"/>
    </row>
    <row r="1911" spans="5:16" hidden="1" x14ac:dyDescent="0.25">
      <c r="E1911" s="43">
        <f>COUNTIF($O$7:O1911,FORMULARIO!$AA$2)</f>
        <v>1</v>
      </c>
      <c r="M1911" s="46"/>
      <c r="P1911" s="16"/>
    </row>
    <row r="1912" spans="5:16" hidden="1" x14ac:dyDescent="0.25">
      <c r="E1912" s="43">
        <f>COUNTIF($O$7:O1912,FORMULARIO!$AA$2)</f>
        <v>1</v>
      </c>
      <c r="M1912" s="46"/>
      <c r="P1912" s="16"/>
    </row>
    <row r="1913" spans="5:16" hidden="1" x14ac:dyDescent="0.25">
      <c r="E1913" s="43">
        <f>COUNTIF($O$7:O1913,FORMULARIO!$AA$2)</f>
        <v>1</v>
      </c>
      <c r="M1913" s="46"/>
      <c r="P1913" s="16"/>
    </row>
    <row r="1914" spans="5:16" hidden="1" x14ac:dyDescent="0.25">
      <c r="E1914" s="43">
        <f>COUNTIF($O$7:O1914,FORMULARIO!$AA$2)</f>
        <v>1</v>
      </c>
      <c r="M1914" s="46"/>
      <c r="P1914" s="16"/>
    </row>
    <row r="1915" spans="5:16" hidden="1" x14ac:dyDescent="0.25">
      <c r="E1915" s="43">
        <f>COUNTIF($O$7:O1915,FORMULARIO!$AA$2)</f>
        <v>1</v>
      </c>
      <c r="M1915" s="46"/>
      <c r="P1915" s="16"/>
    </row>
    <row r="1916" spans="5:16" hidden="1" x14ac:dyDescent="0.25">
      <c r="E1916" s="43">
        <f>COUNTIF($O$7:O1916,FORMULARIO!$AA$2)</f>
        <v>1</v>
      </c>
      <c r="M1916" s="46"/>
      <c r="P1916" s="16"/>
    </row>
    <row r="1917" spans="5:16" hidden="1" x14ac:dyDescent="0.25">
      <c r="E1917" s="43">
        <f>COUNTIF($O$7:O1917,FORMULARIO!$AA$2)</f>
        <v>1</v>
      </c>
      <c r="M1917" s="46"/>
      <c r="P1917" s="16"/>
    </row>
    <row r="1918" spans="5:16" hidden="1" x14ac:dyDescent="0.25">
      <c r="E1918" s="43">
        <f>COUNTIF($O$7:O1918,FORMULARIO!$AA$2)</f>
        <v>1</v>
      </c>
      <c r="M1918" s="46"/>
      <c r="P1918" s="16"/>
    </row>
    <row r="1919" spans="5:16" hidden="1" x14ac:dyDescent="0.25">
      <c r="E1919" s="43">
        <f>COUNTIF($O$7:O1919,FORMULARIO!$AA$2)</f>
        <v>1</v>
      </c>
      <c r="M1919" s="46"/>
      <c r="P1919" s="16"/>
    </row>
    <row r="1920" spans="5:16" hidden="1" x14ac:dyDescent="0.25">
      <c r="E1920" s="43">
        <f>COUNTIF($O$7:O1920,FORMULARIO!$AA$2)</f>
        <v>1</v>
      </c>
      <c r="M1920" s="46"/>
      <c r="P1920" s="16"/>
    </row>
    <row r="1921" spans="5:16" hidden="1" x14ac:dyDescent="0.25">
      <c r="E1921" s="43">
        <f>COUNTIF($O$7:O1921,FORMULARIO!$AA$2)</f>
        <v>1</v>
      </c>
      <c r="M1921" s="46"/>
      <c r="P1921" s="16"/>
    </row>
    <row r="1922" spans="5:16" hidden="1" x14ac:dyDescent="0.25">
      <c r="E1922" s="43">
        <f>COUNTIF($O$7:O1922,FORMULARIO!$AA$2)</f>
        <v>1</v>
      </c>
      <c r="M1922" s="46"/>
      <c r="P1922" s="16"/>
    </row>
    <row r="1923" spans="5:16" hidden="1" x14ac:dyDescent="0.25">
      <c r="E1923" s="43">
        <f>COUNTIF($O$7:O1923,FORMULARIO!$AA$2)</f>
        <v>1</v>
      </c>
      <c r="M1923" s="46"/>
      <c r="P1923" s="16"/>
    </row>
    <row r="1924" spans="5:16" hidden="1" x14ac:dyDescent="0.25">
      <c r="E1924" s="43">
        <f>COUNTIF($O$7:O1924,FORMULARIO!$AA$2)</f>
        <v>1</v>
      </c>
      <c r="M1924" s="46"/>
      <c r="P1924" s="16"/>
    </row>
    <row r="1925" spans="5:16" hidden="1" x14ac:dyDescent="0.25">
      <c r="E1925" s="43">
        <f>COUNTIF($O$7:O1925,FORMULARIO!$AA$2)</f>
        <v>1</v>
      </c>
      <c r="M1925" s="46"/>
      <c r="P1925" s="16"/>
    </row>
    <row r="1926" spans="5:16" hidden="1" x14ac:dyDescent="0.25">
      <c r="E1926" s="43">
        <f>COUNTIF($O$7:O1926,FORMULARIO!$AA$2)</f>
        <v>1</v>
      </c>
      <c r="M1926" s="46"/>
      <c r="P1926" s="16"/>
    </row>
    <row r="1927" spans="5:16" hidden="1" x14ac:dyDescent="0.25">
      <c r="E1927" s="43">
        <f>COUNTIF($O$7:O1927,FORMULARIO!$AA$2)</f>
        <v>1</v>
      </c>
      <c r="M1927" s="46"/>
      <c r="P1927" s="16"/>
    </row>
    <row r="1928" spans="5:16" hidden="1" x14ac:dyDescent="0.25">
      <c r="E1928" s="43">
        <f>COUNTIF($O$7:O1928,FORMULARIO!$AA$2)</f>
        <v>1</v>
      </c>
      <c r="M1928" s="46"/>
      <c r="P1928" s="16"/>
    </row>
    <row r="1929" spans="5:16" hidden="1" x14ac:dyDescent="0.25">
      <c r="E1929" s="43">
        <f>COUNTIF($O$7:O1929,FORMULARIO!$AA$2)</f>
        <v>1</v>
      </c>
      <c r="M1929" s="46"/>
      <c r="P1929" s="16"/>
    </row>
    <row r="1930" spans="5:16" hidden="1" x14ac:dyDescent="0.25">
      <c r="E1930" s="43">
        <f>COUNTIF($O$7:O1930,FORMULARIO!$AA$2)</f>
        <v>1</v>
      </c>
      <c r="M1930" s="46"/>
      <c r="P1930" s="16"/>
    </row>
    <row r="1931" spans="5:16" hidden="1" x14ac:dyDescent="0.25">
      <c r="E1931" s="43">
        <f>COUNTIF($O$7:O1931,FORMULARIO!$AA$2)</f>
        <v>1</v>
      </c>
      <c r="M1931" s="46"/>
      <c r="P1931" s="16"/>
    </row>
    <row r="1932" spans="5:16" hidden="1" x14ac:dyDescent="0.25">
      <c r="E1932" s="43">
        <f>COUNTIF($O$7:O1932,FORMULARIO!$AA$2)</f>
        <v>1</v>
      </c>
      <c r="M1932" s="46"/>
      <c r="P1932" s="16"/>
    </row>
    <row r="1933" spans="5:16" hidden="1" x14ac:dyDescent="0.25">
      <c r="E1933" s="43">
        <f>COUNTIF($O$7:O1933,FORMULARIO!$AA$2)</f>
        <v>1</v>
      </c>
      <c r="M1933" s="46"/>
      <c r="P1933" s="16"/>
    </row>
    <row r="1934" spans="5:16" hidden="1" x14ac:dyDescent="0.25">
      <c r="E1934" s="43">
        <f>COUNTIF($O$7:O1934,FORMULARIO!$AA$2)</f>
        <v>1</v>
      </c>
      <c r="M1934" s="46"/>
      <c r="P1934" s="16"/>
    </row>
    <row r="1935" spans="5:16" hidden="1" x14ac:dyDescent="0.25">
      <c r="E1935" s="43">
        <f>COUNTIF($O$7:O1935,FORMULARIO!$AA$2)</f>
        <v>1</v>
      </c>
      <c r="M1935" s="46"/>
      <c r="P1935" s="16"/>
    </row>
    <row r="1936" spans="5:16" hidden="1" x14ac:dyDescent="0.25">
      <c r="E1936" s="43">
        <f>COUNTIF($O$7:O1936,FORMULARIO!$AA$2)</f>
        <v>1</v>
      </c>
      <c r="M1936" s="46"/>
      <c r="P1936" s="16"/>
    </row>
    <row r="1937" spans="5:16" hidden="1" x14ac:dyDescent="0.25">
      <c r="E1937" s="43">
        <f>COUNTIF($O$7:O1937,FORMULARIO!$AA$2)</f>
        <v>1</v>
      </c>
      <c r="M1937" s="46"/>
      <c r="P1937" s="16"/>
    </row>
    <row r="1938" spans="5:16" hidden="1" x14ac:dyDescent="0.25">
      <c r="E1938" s="43">
        <f>COUNTIF($O$7:O1938,FORMULARIO!$AA$2)</f>
        <v>1</v>
      </c>
      <c r="M1938" s="46"/>
      <c r="P1938" s="16"/>
    </row>
    <row r="1939" spans="5:16" hidden="1" x14ac:dyDescent="0.25">
      <c r="E1939" s="43">
        <f>COUNTIF($O$7:O1939,FORMULARIO!$AA$2)</f>
        <v>1</v>
      </c>
      <c r="M1939" s="46"/>
      <c r="P1939" s="16"/>
    </row>
    <row r="1940" spans="5:16" hidden="1" x14ac:dyDescent="0.25">
      <c r="E1940" s="43">
        <f>COUNTIF($O$7:O1940,FORMULARIO!$AA$2)</f>
        <v>1</v>
      </c>
      <c r="M1940" s="46"/>
      <c r="P1940" s="16"/>
    </row>
    <row r="1941" spans="5:16" hidden="1" x14ac:dyDescent="0.25">
      <c r="E1941" s="43">
        <f>COUNTIF($O$7:O1941,FORMULARIO!$AA$2)</f>
        <v>1</v>
      </c>
      <c r="M1941" s="46"/>
      <c r="P1941" s="16"/>
    </row>
    <row r="1942" spans="5:16" hidden="1" x14ac:dyDescent="0.25">
      <c r="E1942" s="43">
        <f>COUNTIF($O$7:O1942,FORMULARIO!$AA$2)</f>
        <v>1</v>
      </c>
      <c r="M1942" s="46"/>
      <c r="P1942" s="16"/>
    </row>
    <row r="1943" spans="5:16" hidden="1" x14ac:dyDescent="0.25">
      <c r="E1943" s="43">
        <f>COUNTIF($O$7:O1943,FORMULARIO!$AA$2)</f>
        <v>1</v>
      </c>
      <c r="M1943" s="46"/>
      <c r="P1943" s="16"/>
    </row>
    <row r="1944" spans="5:16" hidden="1" x14ac:dyDescent="0.25">
      <c r="E1944" s="43">
        <f>COUNTIF($O$7:O1944,FORMULARIO!$AA$2)</f>
        <v>1</v>
      </c>
      <c r="M1944" s="46"/>
      <c r="P1944" s="16"/>
    </row>
    <row r="1945" spans="5:16" hidden="1" x14ac:dyDescent="0.25">
      <c r="E1945" s="43">
        <f>COUNTIF($O$7:O1945,FORMULARIO!$AA$2)</f>
        <v>1</v>
      </c>
      <c r="M1945" s="46"/>
      <c r="P1945" s="16"/>
    </row>
    <row r="1946" spans="5:16" hidden="1" x14ac:dyDescent="0.25">
      <c r="E1946" s="43">
        <f>COUNTIF($O$7:O1946,FORMULARIO!$AA$2)</f>
        <v>1</v>
      </c>
      <c r="M1946" s="46"/>
      <c r="P1946" s="16"/>
    </row>
    <row r="1947" spans="5:16" hidden="1" x14ac:dyDescent="0.25">
      <c r="E1947" s="43">
        <f>COUNTIF($O$7:O1947,FORMULARIO!$AA$2)</f>
        <v>1</v>
      </c>
      <c r="M1947" s="46"/>
      <c r="P1947" s="16"/>
    </row>
    <row r="1948" spans="5:16" hidden="1" x14ac:dyDescent="0.25">
      <c r="E1948" s="43">
        <f>COUNTIF($O$7:O1948,FORMULARIO!$AA$2)</f>
        <v>1</v>
      </c>
      <c r="M1948" s="46"/>
      <c r="P1948" s="16"/>
    </row>
    <row r="1949" spans="5:16" hidden="1" x14ac:dyDescent="0.25">
      <c r="E1949" s="43">
        <f>COUNTIF($O$7:O1949,FORMULARIO!$AA$2)</f>
        <v>1</v>
      </c>
      <c r="M1949" s="46"/>
      <c r="P1949" s="16"/>
    </row>
    <row r="1950" spans="5:16" hidden="1" x14ac:dyDescent="0.25">
      <c r="E1950" s="43">
        <f>COUNTIF($O$7:O1950,FORMULARIO!$AA$2)</f>
        <v>1</v>
      </c>
      <c r="M1950" s="46"/>
      <c r="P1950" s="16"/>
    </row>
    <row r="1951" spans="5:16" hidden="1" x14ac:dyDescent="0.25">
      <c r="E1951" s="43">
        <f>COUNTIF($O$7:O1951,FORMULARIO!$AA$2)</f>
        <v>1</v>
      </c>
      <c r="M1951" s="46"/>
      <c r="P1951" s="16"/>
    </row>
    <row r="1952" spans="5:16" hidden="1" x14ac:dyDescent="0.25">
      <c r="E1952" s="43">
        <f>COUNTIF($O$7:O1952,FORMULARIO!$AA$2)</f>
        <v>1</v>
      </c>
      <c r="M1952" s="46"/>
      <c r="P1952" s="16"/>
    </row>
    <row r="1953" spans="5:16" hidden="1" x14ac:dyDescent="0.25">
      <c r="E1953" s="43">
        <f>COUNTIF($O$7:O1953,FORMULARIO!$AA$2)</f>
        <v>1</v>
      </c>
      <c r="M1953" s="46"/>
      <c r="P1953" s="16"/>
    </row>
    <row r="1954" spans="5:16" hidden="1" x14ac:dyDescent="0.25">
      <c r="E1954" s="43">
        <f>COUNTIF($O$7:O1954,FORMULARIO!$AA$2)</f>
        <v>1</v>
      </c>
      <c r="M1954" s="46"/>
      <c r="P1954" s="16"/>
    </row>
    <row r="1955" spans="5:16" hidden="1" x14ac:dyDescent="0.25">
      <c r="E1955" s="43">
        <f>COUNTIF($O$7:O1955,FORMULARIO!$AA$2)</f>
        <v>1</v>
      </c>
      <c r="M1955" s="46"/>
      <c r="P1955" s="16"/>
    </row>
    <row r="1956" spans="5:16" hidden="1" x14ac:dyDescent="0.25">
      <c r="E1956" s="43">
        <f>COUNTIF($O$7:O1956,FORMULARIO!$AA$2)</f>
        <v>1</v>
      </c>
      <c r="M1956" s="46"/>
      <c r="P1956" s="16"/>
    </row>
    <row r="1957" spans="5:16" hidden="1" x14ac:dyDescent="0.25">
      <c r="E1957" s="43">
        <f>COUNTIF($O$7:O1957,FORMULARIO!$AA$2)</f>
        <v>1</v>
      </c>
      <c r="M1957" s="46"/>
      <c r="P1957" s="16"/>
    </row>
    <row r="1958" spans="5:16" hidden="1" x14ac:dyDescent="0.25">
      <c r="E1958" s="43">
        <f>COUNTIF($O$7:O1958,FORMULARIO!$AA$2)</f>
        <v>1</v>
      </c>
      <c r="M1958" s="46"/>
      <c r="P1958" s="16"/>
    </row>
    <row r="1959" spans="5:16" hidden="1" x14ac:dyDescent="0.25">
      <c r="E1959" s="43">
        <f>COUNTIF($O$7:O1959,FORMULARIO!$AA$2)</f>
        <v>1</v>
      </c>
      <c r="M1959" s="46"/>
      <c r="P1959" s="16"/>
    </row>
    <row r="1960" spans="5:16" hidden="1" x14ac:dyDescent="0.25">
      <c r="E1960" s="43">
        <f>COUNTIF($O$7:O1960,FORMULARIO!$AA$2)</f>
        <v>1</v>
      </c>
      <c r="M1960" s="46"/>
      <c r="P1960" s="16"/>
    </row>
    <row r="1961" spans="5:16" hidden="1" x14ac:dyDescent="0.25">
      <c r="E1961" s="43">
        <f>COUNTIF($O$7:O1961,FORMULARIO!$AA$2)</f>
        <v>1</v>
      </c>
      <c r="M1961" s="46"/>
      <c r="P1961" s="16"/>
    </row>
    <row r="1962" spans="5:16" hidden="1" x14ac:dyDescent="0.25">
      <c r="E1962" s="43">
        <f>COUNTIF($O$7:O1962,FORMULARIO!$AA$2)</f>
        <v>1</v>
      </c>
      <c r="M1962" s="46"/>
      <c r="P1962" s="16"/>
    </row>
    <row r="1963" spans="5:16" hidden="1" x14ac:dyDescent="0.25">
      <c r="E1963" s="43">
        <f>COUNTIF($O$7:O1963,FORMULARIO!$AA$2)</f>
        <v>1</v>
      </c>
      <c r="M1963" s="46"/>
      <c r="P1963" s="16"/>
    </row>
    <row r="1964" spans="5:16" hidden="1" x14ac:dyDescent="0.25">
      <c r="E1964" s="43">
        <f>COUNTIF($O$7:O1964,FORMULARIO!$AA$2)</f>
        <v>1</v>
      </c>
      <c r="M1964" s="46"/>
      <c r="P1964" s="16"/>
    </row>
    <row r="1965" spans="5:16" hidden="1" x14ac:dyDescent="0.25">
      <c r="E1965" s="43">
        <f>COUNTIF($O$7:O1965,FORMULARIO!$AA$2)</f>
        <v>1</v>
      </c>
      <c r="M1965" s="46"/>
      <c r="P1965" s="16"/>
    </row>
    <row r="1966" spans="5:16" hidden="1" x14ac:dyDescent="0.25">
      <c r="E1966" s="43">
        <f>COUNTIF($O$7:O1966,FORMULARIO!$AA$2)</f>
        <v>1</v>
      </c>
      <c r="M1966" s="46"/>
      <c r="P1966" s="16"/>
    </row>
    <row r="1967" spans="5:16" hidden="1" x14ac:dyDescent="0.25">
      <c r="E1967" s="43">
        <f>COUNTIF($O$7:O1967,FORMULARIO!$AA$2)</f>
        <v>1</v>
      </c>
      <c r="M1967" s="46"/>
      <c r="P1967" s="16"/>
    </row>
    <row r="1968" spans="5:16" hidden="1" x14ac:dyDescent="0.25">
      <c r="E1968" s="43">
        <f>COUNTIF($O$7:O1968,FORMULARIO!$AA$2)</f>
        <v>1</v>
      </c>
      <c r="M1968" s="46"/>
      <c r="P1968" s="16"/>
    </row>
    <row r="1969" spans="5:16" hidden="1" x14ac:dyDescent="0.25">
      <c r="E1969" s="43">
        <f>COUNTIF($O$7:O1969,FORMULARIO!$AA$2)</f>
        <v>1</v>
      </c>
      <c r="M1969" s="46"/>
      <c r="P1969" s="16"/>
    </row>
    <row r="1970" spans="5:16" hidden="1" x14ac:dyDescent="0.25">
      <c r="E1970" s="43">
        <f>COUNTIF($O$7:O1970,FORMULARIO!$AA$2)</f>
        <v>1</v>
      </c>
      <c r="M1970" s="46"/>
      <c r="P1970" s="16"/>
    </row>
    <row r="1971" spans="5:16" hidden="1" x14ac:dyDescent="0.25">
      <c r="E1971" s="43">
        <f>COUNTIF($O$7:O1971,FORMULARIO!$AA$2)</f>
        <v>1</v>
      </c>
      <c r="M1971" s="46"/>
      <c r="P1971" s="16"/>
    </row>
    <row r="1972" spans="5:16" hidden="1" x14ac:dyDescent="0.25">
      <c r="E1972" s="43">
        <f>COUNTIF($O$7:O1972,FORMULARIO!$AA$2)</f>
        <v>1</v>
      </c>
      <c r="M1972" s="46"/>
      <c r="P1972" s="16"/>
    </row>
    <row r="1973" spans="5:16" hidden="1" x14ac:dyDescent="0.25">
      <c r="E1973" s="43">
        <f>COUNTIF($O$7:O1973,FORMULARIO!$AA$2)</f>
        <v>1</v>
      </c>
      <c r="M1973" s="46"/>
      <c r="P1973" s="16"/>
    </row>
    <row r="1974" spans="5:16" hidden="1" x14ac:dyDescent="0.25">
      <c r="E1974" s="43">
        <f>COUNTIF($O$7:O1974,FORMULARIO!$AA$2)</f>
        <v>1</v>
      </c>
      <c r="M1974" s="46"/>
      <c r="P1974" s="16"/>
    </row>
    <row r="1975" spans="5:16" hidden="1" x14ac:dyDescent="0.25">
      <c r="E1975" s="43">
        <f>COUNTIF($O$7:O1975,FORMULARIO!$AA$2)</f>
        <v>1</v>
      </c>
      <c r="M1975" s="46"/>
      <c r="P1975" s="16"/>
    </row>
    <row r="1976" spans="5:16" hidden="1" x14ac:dyDescent="0.25">
      <c r="E1976" s="43">
        <f>COUNTIF($O$7:O1976,FORMULARIO!$AA$2)</f>
        <v>1</v>
      </c>
      <c r="M1976" s="46"/>
      <c r="P1976" s="16"/>
    </row>
    <row r="1977" spans="5:16" hidden="1" x14ac:dyDescent="0.25">
      <c r="E1977" s="43">
        <f>COUNTIF($O$7:O1977,FORMULARIO!$AA$2)</f>
        <v>1</v>
      </c>
      <c r="M1977" s="46"/>
      <c r="P1977" s="16"/>
    </row>
    <row r="1978" spans="5:16" hidden="1" x14ac:dyDescent="0.25">
      <c r="E1978" s="43">
        <f>COUNTIF($O$7:O1978,FORMULARIO!$AA$2)</f>
        <v>1</v>
      </c>
      <c r="M1978" s="46"/>
      <c r="P1978" s="16"/>
    </row>
    <row r="1979" spans="5:16" hidden="1" x14ac:dyDescent="0.25">
      <c r="E1979" s="43">
        <f>COUNTIF($O$7:O1979,FORMULARIO!$AA$2)</f>
        <v>1</v>
      </c>
      <c r="M1979" s="46"/>
      <c r="P1979" s="16"/>
    </row>
    <row r="1980" spans="5:16" hidden="1" x14ac:dyDescent="0.25">
      <c r="E1980" s="43">
        <f>COUNTIF($O$7:O1980,FORMULARIO!$AA$2)</f>
        <v>1</v>
      </c>
      <c r="M1980" s="46"/>
      <c r="P1980" s="16"/>
    </row>
    <row r="1981" spans="5:16" hidden="1" x14ac:dyDescent="0.25">
      <c r="E1981" s="43">
        <f>COUNTIF($O$7:O1981,FORMULARIO!$AA$2)</f>
        <v>1</v>
      </c>
      <c r="M1981" s="46"/>
      <c r="P1981" s="16"/>
    </row>
    <row r="1982" spans="5:16" hidden="1" x14ac:dyDescent="0.25">
      <c r="E1982" s="43">
        <f>COUNTIF($O$7:O1982,FORMULARIO!$AA$2)</f>
        <v>1</v>
      </c>
      <c r="M1982" s="46"/>
      <c r="P1982" s="16"/>
    </row>
    <row r="1983" spans="5:16" hidden="1" x14ac:dyDescent="0.25">
      <c r="E1983" s="43">
        <f>COUNTIF($O$7:O1983,FORMULARIO!$AA$2)</f>
        <v>1</v>
      </c>
      <c r="M1983" s="46"/>
      <c r="P1983" s="16"/>
    </row>
    <row r="1984" spans="5:16" hidden="1" x14ac:dyDescent="0.25">
      <c r="E1984" s="43">
        <f>COUNTIF($O$7:O1984,FORMULARIO!$AA$2)</f>
        <v>1</v>
      </c>
      <c r="M1984" s="46"/>
      <c r="P1984" s="16"/>
    </row>
    <row r="1985" spans="5:16" hidden="1" x14ac:dyDescent="0.25">
      <c r="E1985" s="43">
        <f>COUNTIF($O$7:O1985,FORMULARIO!$AA$2)</f>
        <v>1</v>
      </c>
      <c r="M1985" s="46"/>
      <c r="P1985" s="16"/>
    </row>
    <row r="1986" spans="5:16" hidden="1" x14ac:dyDescent="0.25">
      <c r="E1986" s="43">
        <f>COUNTIF($O$7:O1986,FORMULARIO!$AA$2)</f>
        <v>1</v>
      </c>
      <c r="M1986" s="46"/>
      <c r="P1986" s="16"/>
    </row>
    <row r="1987" spans="5:16" hidden="1" x14ac:dyDescent="0.25">
      <c r="E1987" s="43">
        <f>COUNTIF($O$7:O1987,FORMULARIO!$AA$2)</f>
        <v>1</v>
      </c>
      <c r="M1987" s="46"/>
      <c r="P1987" s="16"/>
    </row>
    <row r="1988" spans="5:16" hidden="1" x14ac:dyDescent="0.25">
      <c r="E1988" s="43">
        <f>COUNTIF($O$7:O1988,FORMULARIO!$AA$2)</f>
        <v>1</v>
      </c>
      <c r="M1988" s="46"/>
      <c r="P1988" s="16"/>
    </row>
    <row r="1989" spans="5:16" hidden="1" x14ac:dyDescent="0.25">
      <c r="E1989" s="43">
        <f>COUNTIF($O$7:O1989,FORMULARIO!$AA$2)</f>
        <v>1</v>
      </c>
      <c r="M1989" s="46"/>
      <c r="P1989" s="16"/>
    </row>
    <row r="1990" spans="5:16" hidden="1" x14ac:dyDescent="0.25">
      <c r="E1990" s="43">
        <f>COUNTIF($O$7:O1990,FORMULARIO!$AA$2)</f>
        <v>1</v>
      </c>
      <c r="M1990" s="46"/>
      <c r="P1990" s="16"/>
    </row>
    <row r="1991" spans="5:16" hidden="1" x14ac:dyDescent="0.25">
      <c r="E1991" s="43">
        <f>COUNTIF($O$7:O1991,FORMULARIO!$AA$2)</f>
        <v>1</v>
      </c>
      <c r="M1991" s="46"/>
      <c r="P1991" s="16"/>
    </row>
    <row r="1992" spans="5:16" hidden="1" x14ac:dyDescent="0.25">
      <c r="E1992" s="43">
        <f>COUNTIF($O$7:O1992,FORMULARIO!$AA$2)</f>
        <v>1</v>
      </c>
      <c r="M1992" s="46"/>
      <c r="P1992" s="16"/>
    </row>
    <row r="1993" spans="5:16" hidden="1" x14ac:dyDescent="0.25">
      <c r="E1993" s="43">
        <f>COUNTIF($O$7:O1993,FORMULARIO!$AA$2)</f>
        <v>1</v>
      </c>
      <c r="M1993" s="46"/>
      <c r="P1993" s="16"/>
    </row>
    <row r="1994" spans="5:16" hidden="1" x14ac:dyDescent="0.25">
      <c r="E1994" s="43">
        <f>COUNTIF($O$7:O1994,FORMULARIO!$AA$2)</f>
        <v>1</v>
      </c>
      <c r="M1994" s="46"/>
      <c r="P1994" s="16"/>
    </row>
    <row r="1995" spans="5:16" hidden="1" x14ac:dyDescent="0.25">
      <c r="E1995" s="43">
        <f>COUNTIF($O$7:O1995,FORMULARIO!$AA$2)</f>
        <v>1</v>
      </c>
      <c r="M1995" s="46"/>
      <c r="P1995" s="16"/>
    </row>
    <row r="1996" spans="5:16" hidden="1" x14ac:dyDescent="0.25">
      <c r="E1996" s="43">
        <f>COUNTIF($O$7:O1996,FORMULARIO!$AA$2)</f>
        <v>1</v>
      </c>
      <c r="M1996" s="46"/>
      <c r="P1996" s="16"/>
    </row>
    <row r="1997" spans="5:16" hidden="1" x14ac:dyDescent="0.25">
      <c r="E1997" s="43">
        <f>COUNTIF($O$7:O1997,FORMULARIO!$AA$2)</f>
        <v>1</v>
      </c>
      <c r="M1997" s="46"/>
      <c r="P1997" s="16"/>
    </row>
    <row r="1998" spans="5:16" hidden="1" x14ac:dyDescent="0.25">
      <c r="E1998" s="43">
        <f>COUNTIF($O$7:O1998,FORMULARIO!$AA$2)</f>
        <v>1</v>
      </c>
      <c r="M1998" s="46"/>
      <c r="P1998" s="16"/>
    </row>
    <row r="1999" spans="5:16" hidden="1" x14ac:dyDescent="0.25">
      <c r="E1999" s="43">
        <f>COUNTIF($O$7:O1999,FORMULARIO!$AA$2)</f>
        <v>1</v>
      </c>
      <c r="M1999" s="46"/>
      <c r="P1999" s="16"/>
    </row>
    <row r="2000" spans="5:16" hidden="1" x14ac:dyDescent="0.25">
      <c r="E2000" s="43">
        <f>COUNTIF($O$7:O2000,FORMULARIO!$AA$2)</f>
        <v>1</v>
      </c>
      <c r="M2000" s="46"/>
      <c r="P2000" s="16"/>
    </row>
    <row r="2001" spans="5:16" hidden="1" x14ac:dyDescent="0.25">
      <c r="E2001" s="43">
        <f>COUNTIF($O$7:O2001,FORMULARIO!$AA$2)</f>
        <v>1</v>
      </c>
      <c r="M2001" s="46"/>
      <c r="P2001" s="16"/>
    </row>
    <row r="2002" spans="5:16" hidden="1" x14ac:dyDescent="0.25">
      <c r="E2002" s="43">
        <f>COUNTIF($O$7:O2002,FORMULARIO!$AA$2)</f>
        <v>1</v>
      </c>
      <c r="M2002" s="46"/>
      <c r="P2002" s="16"/>
    </row>
    <row r="2003" spans="5:16" hidden="1" x14ac:dyDescent="0.25">
      <c r="E2003" s="43">
        <f>COUNTIF($O$7:O2003,FORMULARIO!$AA$2)</f>
        <v>1</v>
      </c>
      <c r="M2003" s="46"/>
      <c r="P2003" s="16"/>
    </row>
    <row r="2004" spans="5:16" hidden="1" x14ac:dyDescent="0.25">
      <c r="E2004" s="43">
        <f>COUNTIF($O$7:O2004,FORMULARIO!$AA$2)</f>
        <v>1</v>
      </c>
      <c r="M2004" s="46"/>
      <c r="P2004" s="16"/>
    </row>
    <row r="2005" spans="5:16" hidden="1" x14ac:dyDescent="0.25">
      <c r="E2005" s="43">
        <f>COUNTIF($O$7:O2005,FORMULARIO!$AA$2)</f>
        <v>1</v>
      </c>
      <c r="M2005" s="46"/>
      <c r="P2005" s="16"/>
    </row>
    <row r="2006" spans="5:16" hidden="1" x14ac:dyDescent="0.25">
      <c r="E2006" s="43">
        <f>COUNTIF($O$7:O2006,FORMULARIO!$AA$2)</f>
        <v>1</v>
      </c>
      <c r="M2006" s="46"/>
      <c r="P2006" s="16"/>
    </row>
    <row r="2007" spans="5:16" hidden="1" x14ac:dyDescent="0.25">
      <c r="E2007" s="43">
        <f>COUNTIF($O$7:O2007,FORMULARIO!$AA$2)</f>
        <v>1</v>
      </c>
      <c r="M2007" s="46"/>
      <c r="P2007" s="16"/>
    </row>
    <row r="2008" spans="5:16" hidden="1" x14ac:dyDescent="0.25">
      <c r="E2008" s="43">
        <f>COUNTIF($O$7:O2008,FORMULARIO!$AA$2)</f>
        <v>1</v>
      </c>
      <c r="M2008" s="46"/>
      <c r="P2008" s="16"/>
    </row>
    <row r="2009" spans="5:16" hidden="1" x14ac:dyDescent="0.25">
      <c r="E2009" s="43">
        <f>COUNTIF($O$7:O2009,FORMULARIO!$AA$2)</f>
        <v>1</v>
      </c>
      <c r="M2009" s="46"/>
      <c r="P2009" s="16"/>
    </row>
    <row r="2010" spans="5:16" hidden="1" x14ac:dyDescent="0.25">
      <c r="E2010" s="43">
        <f>COUNTIF($O$7:O2010,FORMULARIO!$AA$2)</f>
        <v>1</v>
      </c>
      <c r="M2010" s="46"/>
      <c r="P2010" s="16"/>
    </row>
    <row r="2011" spans="5:16" hidden="1" x14ac:dyDescent="0.25">
      <c r="E2011" s="43">
        <f>COUNTIF($O$7:O2011,FORMULARIO!$AA$2)</f>
        <v>1</v>
      </c>
      <c r="M2011" s="46"/>
      <c r="P2011" s="16"/>
    </row>
    <row r="2012" spans="5:16" hidden="1" x14ac:dyDescent="0.25">
      <c r="E2012" s="43">
        <f>COUNTIF($O$7:O2012,FORMULARIO!$AA$2)</f>
        <v>1</v>
      </c>
      <c r="M2012" s="46"/>
      <c r="P2012" s="16"/>
    </row>
    <row r="2013" spans="5:16" hidden="1" x14ac:dyDescent="0.25">
      <c r="E2013" s="43">
        <f>COUNTIF($O$7:O2013,FORMULARIO!$AA$2)</f>
        <v>1</v>
      </c>
      <c r="M2013" s="46"/>
      <c r="P2013" s="16"/>
    </row>
    <row r="2014" spans="5:16" hidden="1" x14ac:dyDescent="0.25">
      <c r="E2014" s="43">
        <f>COUNTIF($O$7:O2014,FORMULARIO!$AA$2)</f>
        <v>1</v>
      </c>
      <c r="M2014" s="46"/>
      <c r="P2014" s="16"/>
    </row>
    <row r="2015" spans="5:16" hidden="1" x14ac:dyDescent="0.25">
      <c r="E2015" s="43">
        <f>COUNTIF($O$7:O2015,FORMULARIO!$AA$2)</f>
        <v>1</v>
      </c>
      <c r="M2015" s="46"/>
      <c r="P2015" s="16"/>
    </row>
    <row r="2016" spans="5:16" hidden="1" x14ac:dyDescent="0.25">
      <c r="E2016" s="43">
        <f>COUNTIF($O$7:O2016,FORMULARIO!$AA$2)</f>
        <v>1</v>
      </c>
      <c r="M2016" s="46"/>
      <c r="P2016" s="16"/>
    </row>
    <row r="2017" spans="5:16" hidden="1" x14ac:dyDescent="0.25">
      <c r="E2017" s="43">
        <f>COUNTIF($O$7:O2017,FORMULARIO!$AA$2)</f>
        <v>1</v>
      </c>
      <c r="M2017" s="46"/>
      <c r="P2017" s="16"/>
    </row>
    <row r="2018" spans="5:16" hidden="1" x14ac:dyDescent="0.25">
      <c r="E2018" s="43">
        <f>COUNTIF($O$7:O2018,FORMULARIO!$AA$2)</f>
        <v>1</v>
      </c>
      <c r="M2018" s="46"/>
      <c r="P2018" s="16"/>
    </row>
    <row r="2019" spans="5:16" hidden="1" x14ac:dyDescent="0.25">
      <c r="E2019" s="43">
        <f>COUNTIF($O$7:O2019,FORMULARIO!$AA$2)</f>
        <v>1</v>
      </c>
      <c r="M2019" s="46"/>
      <c r="P2019" s="16"/>
    </row>
    <row r="2020" spans="5:16" hidden="1" x14ac:dyDescent="0.25">
      <c r="E2020" s="43">
        <f>COUNTIF($O$7:O2020,FORMULARIO!$AA$2)</f>
        <v>1</v>
      </c>
      <c r="M2020" s="46"/>
      <c r="P2020" s="16"/>
    </row>
    <row r="2021" spans="5:16" hidden="1" x14ac:dyDescent="0.25">
      <c r="E2021" s="43">
        <f>COUNTIF($O$7:O2021,FORMULARIO!$AA$2)</f>
        <v>1</v>
      </c>
      <c r="M2021" s="46"/>
      <c r="P2021" s="16"/>
    </row>
    <row r="2022" spans="5:16" hidden="1" x14ac:dyDescent="0.25">
      <c r="E2022" s="43">
        <f>COUNTIF($O$7:O2022,FORMULARIO!$AA$2)</f>
        <v>1</v>
      </c>
      <c r="M2022" s="46"/>
      <c r="P2022" s="16"/>
    </row>
    <row r="2023" spans="5:16" hidden="1" x14ac:dyDescent="0.25">
      <c r="E2023" s="43">
        <f>COUNTIF($O$7:O2023,FORMULARIO!$AA$2)</f>
        <v>1</v>
      </c>
      <c r="M2023" s="46"/>
      <c r="P2023" s="16"/>
    </row>
    <row r="2024" spans="5:16" hidden="1" x14ac:dyDescent="0.25">
      <c r="E2024" s="43">
        <f>COUNTIF($O$7:O2024,FORMULARIO!$AA$2)</f>
        <v>1</v>
      </c>
      <c r="M2024" s="46"/>
      <c r="P2024" s="16"/>
    </row>
    <row r="2025" spans="5:16" hidden="1" x14ac:dyDescent="0.25">
      <c r="E2025" s="43">
        <f>COUNTIF($O$7:O2025,FORMULARIO!$AA$2)</f>
        <v>1</v>
      </c>
      <c r="M2025" s="46"/>
      <c r="P2025" s="16"/>
    </row>
    <row r="2026" spans="5:16" hidden="1" x14ac:dyDescent="0.25">
      <c r="E2026" s="43">
        <f>COUNTIF($O$7:O2026,FORMULARIO!$AA$2)</f>
        <v>1</v>
      </c>
      <c r="M2026" s="46"/>
      <c r="P2026" s="16"/>
    </row>
    <row r="2027" spans="5:16" hidden="1" x14ac:dyDescent="0.25">
      <c r="E2027" s="43">
        <f>COUNTIF($O$7:O2027,FORMULARIO!$AA$2)</f>
        <v>1</v>
      </c>
      <c r="M2027" s="46"/>
      <c r="P2027" s="16"/>
    </row>
    <row r="2028" spans="5:16" hidden="1" x14ac:dyDescent="0.25">
      <c r="E2028" s="43">
        <f>COUNTIF($O$7:O2028,FORMULARIO!$AA$2)</f>
        <v>1</v>
      </c>
      <c r="M2028" s="46"/>
      <c r="P2028" s="16"/>
    </row>
    <row r="2029" spans="5:16" hidden="1" x14ac:dyDescent="0.25">
      <c r="E2029" s="43">
        <f>COUNTIF($O$7:O2029,FORMULARIO!$AA$2)</f>
        <v>1</v>
      </c>
      <c r="M2029" s="46"/>
      <c r="P2029" s="16"/>
    </row>
    <row r="2030" spans="5:16" hidden="1" x14ac:dyDescent="0.25">
      <c r="E2030" s="43">
        <f>COUNTIF($O$7:O2030,FORMULARIO!$AA$2)</f>
        <v>1</v>
      </c>
      <c r="M2030" s="46"/>
      <c r="P2030" s="16"/>
    </row>
    <row r="2031" spans="5:16" hidden="1" x14ac:dyDescent="0.25">
      <c r="E2031" s="43">
        <f>COUNTIF($O$7:O2031,FORMULARIO!$AA$2)</f>
        <v>1</v>
      </c>
      <c r="M2031" s="46"/>
      <c r="P2031" s="16"/>
    </row>
    <row r="2032" spans="5:16" hidden="1" x14ac:dyDescent="0.25">
      <c r="E2032" s="43">
        <f>COUNTIF($O$7:O2032,FORMULARIO!$AA$2)</f>
        <v>1</v>
      </c>
      <c r="M2032" s="46"/>
      <c r="P2032" s="16"/>
    </row>
    <row r="2033" spans="5:16" hidden="1" x14ac:dyDescent="0.25">
      <c r="E2033" s="43">
        <f>COUNTIF($O$7:O2033,FORMULARIO!$AA$2)</f>
        <v>1</v>
      </c>
      <c r="M2033" s="46"/>
      <c r="P2033" s="16"/>
    </row>
    <row r="2034" spans="5:16" hidden="1" x14ac:dyDescent="0.25">
      <c r="E2034" s="43">
        <f>COUNTIF($O$7:O2034,FORMULARIO!$AA$2)</f>
        <v>1</v>
      </c>
      <c r="M2034" s="46"/>
      <c r="P2034" s="16"/>
    </row>
    <row r="2035" spans="5:16" hidden="1" x14ac:dyDescent="0.25">
      <c r="E2035" s="43">
        <f>COUNTIF($O$7:O2035,FORMULARIO!$AA$2)</f>
        <v>1</v>
      </c>
      <c r="M2035" s="46"/>
      <c r="P2035" s="16"/>
    </row>
    <row r="2036" spans="5:16" hidden="1" x14ac:dyDescent="0.25">
      <c r="E2036" s="43">
        <f>COUNTIF($O$7:O2036,FORMULARIO!$AA$2)</f>
        <v>1</v>
      </c>
      <c r="M2036" s="46"/>
      <c r="P2036" s="16"/>
    </row>
    <row r="2037" spans="5:16" hidden="1" x14ac:dyDescent="0.25">
      <c r="E2037" s="43">
        <f>COUNTIF($O$7:O2037,FORMULARIO!$AA$2)</f>
        <v>1</v>
      </c>
      <c r="M2037" s="46"/>
      <c r="P2037" s="16"/>
    </row>
    <row r="2038" spans="5:16" hidden="1" x14ac:dyDescent="0.25">
      <c r="E2038" s="43">
        <f>COUNTIF($O$7:O2038,FORMULARIO!$AA$2)</f>
        <v>1</v>
      </c>
      <c r="M2038" s="46"/>
      <c r="P2038" s="16"/>
    </row>
    <row r="2039" spans="5:16" hidden="1" x14ac:dyDescent="0.25">
      <c r="E2039" s="43">
        <f>COUNTIF($O$7:O2039,FORMULARIO!$AA$2)</f>
        <v>1</v>
      </c>
      <c r="M2039" s="46"/>
      <c r="P2039" s="16"/>
    </row>
    <row r="2040" spans="5:16" hidden="1" x14ac:dyDescent="0.25">
      <c r="E2040" s="43">
        <f>COUNTIF($O$7:O2040,FORMULARIO!$AA$2)</f>
        <v>1</v>
      </c>
      <c r="M2040" s="46"/>
      <c r="P2040" s="16"/>
    </row>
    <row r="2041" spans="5:16" hidden="1" x14ac:dyDescent="0.25">
      <c r="E2041" s="43">
        <f>COUNTIF($O$7:O2041,FORMULARIO!$AA$2)</f>
        <v>1</v>
      </c>
      <c r="M2041" s="46"/>
      <c r="P2041" s="16"/>
    </row>
    <row r="2042" spans="5:16" hidden="1" x14ac:dyDescent="0.25">
      <c r="E2042" s="43">
        <f>COUNTIF($O$7:O2042,FORMULARIO!$AA$2)</f>
        <v>1</v>
      </c>
      <c r="M2042" s="46"/>
      <c r="P2042" s="16"/>
    </row>
    <row r="2043" spans="5:16" hidden="1" x14ac:dyDescent="0.25">
      <c r="E2043" s="43">
        <f>COUNTIF($O$7:O2043,FORMULARIO!$AA$2)</f>
        <v>1</v>
      </c>
      <c r="M2043" s="46"/>
      <c r="P2043" s="16"/>
    </row>
    <row r="2044" spans="5:16" hidden="1" x14ac:dyDescent="0.25">
      <c r="E2044" s="43">
        <f>COUNTIF($O$7:O2044,FORMULARIO!$AA$2)</f>
        <v>1</v>
      </c>
      <c r="M2044" s="46"/>
      <c r="P2044" s="16"/>
    </row>
    <row r="2045" spans="5:16" hidden="1" x14ac:dyDescent="0.25">
      <c r="E2045" s="43">
        <f>COUNTIF($O$7:O2045,FORMULARIO!$AA$2)</f>
        <v>1</v>
      </c>
      <c r="M2045" s="46"/>
      <c r="P2045" s="16"/>
    </row>
    <row r="2046" spans="5:16" hidden="1" x14ac:dyDescent="0.25">
      <c r="E2046" s="43">
        <f>COUNTIF($O$7:O2046,FORMULARIO!$AA$2)</f>
        <v>1</v>
      </c>
      <c r="M2046" s="46"/>
      <c r="P2046" s="16"/>
    </row>
    <row r="2047" spans="5:16" hidden="1" x14ac:dyDescent="0.25">
      <c r="E2047" s="43">
        <f>COUNTIF($O$7:O2047,FORMULARIO!$AA$2)</f>
        <v>1</v>
      </c>
      <c r="M2047" s="46"/>
      <c r="P2047" s="16"/>
    </row>
    <row r="2048" spans="5:16" hidden="1" x14ac:dyDescent="0.25">
      <c r="E2048" s="43">
        <f>COUNTIF($O$7:O2048,FORMULARIO!$AA$2)</f>
        <v>1</v>
      </c>
      <c r="M2048" s="46"/>
      <c r="P2048" s="16"/>
    </row>
    <row r="2049" spans="5:16" hidden="1" x14ac:dyDescent="0.25">
      <c r="E2049" s="43">
        <f>COUNTIF($O$7:O2049,FORMULARIO!$AA$2)</f>
        <v>1</v>
      </c>
      <c r="M2049" s="46"/>
      <c r="P2049" s="16"/>
    </row>
    <row r="2050" spans="5:16" hidden="1" x14ac:dyDescent="0.25">
      <c r="E2050" s="43">
        <f>COUNTIF($O$7:O2050,FORMULARIO!$AA$2)</f>
        <v>1</v>
      </c>
      <c r="M2050" s="46"/>
      <c r="P2050" s="16"/>
    </row>
    <row r="2051" spans="5:16" hidden="1" x14ac:dyDescent="0.25">
      <c r="E2051" s="43">
        <f>COUNTIF($O$7:O2051,FORMULARIO!$AA$2)</f>
        <v>1</v>
      </c>
      <c r="M2051" s="46"/>
      <c r="P2051" s="16"/>
    </row>
    <row r="2052" spans="5:16" hidden="1" x14ac:dyDescent="0.25">
      <c r="E2052" s="43">
        <f>COUNTIF($O$7:O2052,FORMULARIO!$AA$2)</f>
        <v>1</v>
      </c>
      <c r="M2052" s="46"/>
      <c r="P2052" s="16"/>
    </row>
    <row r="2053" spans="5:16" hidden="1" x14ac:dyDescent="0.25">
      <c r="E2053" s="43">
        <f>COUNTIF($O$7:O2053,FORMULARIO!$AA$2)</f>
        <v>1</v>
      </c>
      <c r="M2053" s="46"/>
      <c r="P2053" s="16"/>
    </row>
    <row r="2054" spans="5:16" hidden="1" x14ac:dyDescent="0.25">
      <c r="E2054" s="43">
        <f>COUNTIF($O$7:O2054,FORMULARIO!$AA$2)</f>
        <v>1</v>
      </c>
      <c r="M2054" s="46"/>
      <c r="P2054" s="16"/>
    </row>
    <row r="2055" spans="5:16" hidden="1" x14ac:dyDescent="0.25">
      <c r="E2055" s="43">
        <f>COUNTIF($O$7:O2055,FORMULARIO!$AA$2)</f>
        <v>1</v>
      </c>
      <c r="M2055" s="46"/>
      <c r="P2055" s="16"/>
    </row>
    <row r="2056" spans="5:16" hidden="1" x14ac:dyDescent="0.25">
      <c r="E2056" s="43">
        <f>COUNTIF($O$7:O2056,FORMULARIO!$AA$2)</f>
        <v>1</v>
      </c>
      <c r="M2056" s="46"/>
      <c r="P2056" s="16"/>
    </row>
    <row r="2057" spans="5:16" hidden="1" x14ac:dyDescent="0.25">
      <c r="E2057" s="43">
        <f>COUNTIF($O$7:O2057,FORMULARIO!$AA$2)</f>
        <v>1</v>
      </c>
      <c r="M2057" s="46"/>
      <c r="P2057" s="16"/>
    </row>
    <row r="2058" spans="5:16" hidden="1" x14ac:dyDescent="0.25">
      <c r="E2058" s="43">
        <f>COUNTIF($O$7:O2058,FORMULARIO!$AA$2)</f>
        <v>1</v>
      </c>
      <c r="M2058" s="46"/>
      <c r="P2058" s="16"/>
    </row>
    <row r="2059" spans="5:16" hidden="1" x14ac:dyDescent="0.25">
      <c r="E2059" s="43">
        <f>COUNTIF($O$7:O2059,FORMULARIO!$AA$2)</f>
        <v>1</v>
      </c>
      <c r="M2059" s="46"/>
      <c r="P2059" s="16"/>
    </row>
    <row r="2060" spans="5:16" hidden="1" x14ac:dyDescent="0.25">
      <c r="E2060" s="43">
        <f>COUNTIF($O$7:O2060,FORMULARIO!$AA$2)</f>
        <v>1</v>
      </c>
      <c r="M2060" s="46"/>
      <c r="P2060" s="16"/>
    </row>
    <row r="2061" spans="5:16" hidden="1" x14ac:dyDescent="0.25">
      <c r="E2061" s="43">
        <f>COUNTIF($O$7:O2061,FORMULARIO!$AA$2)</f>
        <v>1</v>
      </c>
      <c r="M2061" s="46"/>
      <c r="P2061" s="16"/>
    </row>
    <row r="2062" spans="5:16" hidden="1" x14ac:dyDescent="0.25">
      <c r="E2062" s="43">
        <f>COUNTIF($O$7:O2062,FORMULARIO!$AA$2)</f>
        <v>1</v>
      </c>
      <c r="M2062" s="46"/>
      <c r="P2062" s="16"/>
    </row>
    <row r="2063" spans="5:16" hidden="1" x14ac:dyDescent="0.25">
      <c r="E2063" s="43">
        <f>COUNTIF($O$7:O2063,FORMULARIO!$AA$2)</f>
        <v>1</v>
      </c>
      <c r="M2063" s="46"/>
      <c r="P2063" s="16"/>
    </row>
    <row r="2064" spans="5:16" hidden="1" x14ac:dyDescent="0.25">
      <c r="E2064" s="43">
        <f>COUNTIF($O$7:O2064,FORMULARIO!$AA$2)</f>
        <v>1</v>
      </c>
      <c r="M2064" s="46"/>
      <c r="P2064" s="16"/>
    </row>
    <row r="2065" spans="5:16" hidden="1" x14ac:dyDescent="0.25">
      <c r="E2065" s="43">
        <f>COUNTIF($O$7:O2065,FORMULARIO!$AA$2)</f>
        <v>1</v>
      </c>
      <c r="M2065" s="46"/>
      <c r="P2065" s="16"/>
    </row>
    <row r="2066" spans="5:16" hidden="1" x14ac:dyDescent="0.25">
      <c r="E2066" s="43">
        <f>COUNTIF($O$7:O2066,FORMULARIO!$AA$2)</f>
        <v>1</v>
      </c>
      <c r="M2066" s="46"/>
      <c r="P2066" s="16"/>
    </row>
    <row r="2067" spans="5:16" hidden="1" x14ac:dyDescent="0.25">
      <c r="E2067" s="43">
        <f>COUNTIF($O$7:O2067,FORMULARIO!$AA$2)</f>
        <v>1</v>
      </c>
      <c r="M2067" s="46"/>
      <c r="P2067" s="16"/>
    </row>
    <row r="2068" spans="5:16" hidden="1" x14ac:dyDescent="0.25">
      <c r="E2068" s="43">
        <f>COUNTIF($O$7:O2068,FORMULARIO!$AA$2)</f>
        <v>1</v>
      </c>
      <c r="M2068" s="46"/>
      <c r="P2068" s="16"/>
    </row>
    <row r="2069" spans="5:16" hidden="1" x14ac:dyDescent="0.25">
      <c r="E2069" s="43">
        <f>COUNTIF($O$7:O2069,FORMULARIO!$AA$2)</f>
        <v>1</v>
      </c>
      <c r="M2069" s="46"/>
      <c r="P2069" s="16"/>
    </row>
    <row r="2070" spans="5:16" hidden="1" x14ac:dyDescent="0.25">
      <c r="E2070" s="43">
        <f>COUNTIF($O$7:O2070,FORMULARIO!$AA$2)</f>
        <v>1</v>
      </c>
      <c r="M2070" s="46"/>
      <c r="P2070" s="16"/>
    </row>
    <row r="2071" spans="5:16" hidden="1" x14ac:dyDescent="0.25">
      <c r="E2071" s="43">
        <f>COUNTIF($O$7:O2071,FORMULARIO!$AA$2)</f>
        <v>1</v>
      </c>
      <c r="M2071" s="46"/>
      <c r="P2071" s="16"/>
    </row>
    <row r="2072" spans="5:16" hidden="1" x14ac:dyDescent="0.25">
      <c r="E2072" s="43">
        <f>COUNTIF($O$7:O2072,FORMULARIO!$AA$2)</f>
        <v>1</v>
      </c>
      <c r="M2072" s="46"/>
      <c r="P2072" s="16"/>
    </row>
    <row r="2073" spans="5:16" hidden="1" x14ac:dyDescent="0.25">
      <c r="E2073" s="43">
        <f>COUNTIF($O$7:O2073,FORMULARIO!$AA$2)</f>
        <v>1</v>
      </c>
      <c r="M2073" s="46"/>
      <c r="P2073" s="16"/>
    </row>
    <row r="2074" spans="5:16" hidden="1" x14ac:dyDescent="0.25">
      <c r="E2074" s="43">
        <f>COUNTIF($O$7:O2074,FORMULARIO!$AA$2)</f>
        <v>1</v>
      </c>
      <c r="M2074" s="46"/>
      <c r="P2074" s="16"/>
    </row>
    <row r="2075" spans="5:16" hidden="1" x14ac:dyDescent="0.25">
      <c r="E2075" s="43">
        <f>COUNTIF($O$7:O2075,FORMULARIO!$AA$2)</f>
        <v>1</v>
      </c>
      <c r="M2075" s="46"/>
      <c r="P2075" s="16"/>
    </row>
    <row r="2076" spans="5:16" hidden="1" x14ac:dyDescent="0.25">
      <c r="E2076" s="43">
        <f>COUNTIF($O$7:O2076,FORMULARIO!$AA$2)</f>
        <v>1</v>
      </c>
      <c r="M2076" s="46"/>
      <c r="P2076" s="16"/>
    </row>
    <row r="2077" spans="5:16" hidden="1" x14ac:dyDescent="0.25">
      <c r="E2077" s="43">
        <f>COUNTIF($O$7:O2077,FORMULARIO!$AA$2)</f>
        <v>1</v>
      </c>
      <c r="M2077" s="46"/>
      <c r="P2077" s="16"/>
    </row>
    <row r="2078" spans="5:16" hidden="1" x14ac:dyDescent="0.25">
      <c r="E2078" s="43">
        <f>COUNTIF($O$7:O2078,FORMULARIO!$AA$2)</f>
        <v>1</v>
      </c>
      <c r="M2078" s="46"/>
      <c r="P2078" s="16"/>
    </row>
    <row r="2079" spans="5:16" hidden="1" x14ac:dyDescent="0.25">
      <c r="E2079" s="43">
        <f>COUNTIF($O$7:O2079,FORMULARIO!$AA$2)</f>
        <v>1</v>
      </c>
      <c r="M2079" s="46"/>
      <c r="P2079" s="16"/>
    </row>
    <row r="2080" spans="5:16" hidden="1" x14ac:dyDescent="0.25">
      <c r="E2080" s="43">
        <f>COUNTIF($O$7:O2080,FORMULARIO!$AA$2)</f>
        <v>1</v>
      </c>
      <c r="M2080" s="46"/>
      <c r="P2080" s="16"/>
    </row>
    <row r="2081" spans="5:16" hidden="1" x14ac:dyDescent="0.25">
      <c r="E2081" s="43">
        <f>COUNTIF($O$7:O2081,FORMULARIO!$AA$2)</f>
        <v>1</v>
      </c>
      <c r="M2081" s="46"/>
      <c r="P2081" s="16"/>
    </row>
    <row r="2082" spans="5:16" hidden="1" x14ac:dyDescent="0.25">
      <c r="E2082" s="43">
        <f>COUNTIF($O$7:O2082,FORMULARIO!$AA$2)</f>
        <v>1</v>
      </c>
      <c r="M2082" s="46"/>
      <c r="P2082" s="16"/>
    </row>
    <row r="2083" spans="5:16" hidden="1" x14ac:dyDescent="0.25">
      <c r="E2083" s="43">
        <f>COUNTIF($O$7:O2083,FORMULARIO!$AA$2)</f>
        <v>1</v>
      </c>
      <c r="M2083" s="46"/>
      <c r="P2083" s="16"/>
    </row>
    <row r="2084" spans="5:16" hidden="1" x14ac:dyDescent="0.25">
      <c r="E2084" s="43">
        <f>COUNTIF($O$7:O2084,FORMULARIO!$AA$2)</f>
        <v>1</v>
      </c>
      <c r="M2084" s="46"/>
      <c r="P2084" s="16"/>
    </row>
    <row r="2085" spans="5:16" hidden="1" x14ac:dyDescent="0.25">
      <c r="E2085" s="43">
        <f>COUNTIF($O$7:O2085,FORMULARIO!$AA$2)</f>
        <v>1</v>
      </c>
      <c r="M2085" s="46"/>
      <c r="P2085" s="16"/>
    </row>
    <row r="2086" spans="5:16" hidden="1" x14ac:dyDescent="0.25">
      <c r="E2086" s="43">
        <f>COUNTIF($O$7:O2086,FORMULARIO!$AA$2)</f>
        <v>1</v>
      </c>
      <c r="M2086" s="46"/>
      <c r="P2086" s="16"/>
    </row>
    <row r="2087" spans="5:16" hidden="1" x14ac:dyDescent="0.25">
      <c r="E2087" s="43">
        <f>COUNTIF($O$7:O2087,FORMULARIO!$AA$2)</f>
        <v>1</v>
      </c>
      <c r="M2087" s="46"/>
      <c r="P2087" s="16"/>
    </row>
    <row r="2088" spans="5:16" hidden="1" x14ac:dyDescent="0.25">
      <c r="E2088" s="43">
        <f>COUNTIF($O$7:O2088,FORMULARIO!$AA$2)</f>
        <v>1</v>
      </c>
      <c r="M2088" s="46"/>
      <c r="P2088" s="16"/>
    </row>
    <row r="2089" spans="5:16" hidden="1" x14ac:dyDescent="0.25">
      <c r="E2089" s="43">
        <f>COUNTIF($O$7:O2089,FORMULARIO!$AA$2)</f>
        <v>1</v>
      </c>
      <c r="M2089" s="46"/>
      <c r="P2089" s="16"/>
    </row>
    <row r="2090" spans="5:16" hidden="1" x14ac:dyDescent="0.25">
      <c r="E2090" s="43">
        <f>COUNTIF($O$7:O2090,FORMULARIO!$AA$2)</f>
        <v>1</v>
      </c>
      <c r="M2090" s="46"/>
      <c r="P2090" s="16"/>
    </row>
    <row r="2091" spans="5:16" hidden="1" x14ac:dyDescent="0.25">
      <c r="E2091" s="43">
        <f>COUNTIF($O$7:O2091,FORMULARIO!$AA$2)</f>
        <v>1</v>
      </c>
      <c r="M2091" s="46"/>
      <c r="P2091" s="16"/>
    </row>
    <row r="2092" spans="5:16" hidden="1" x14ac:dyDescent="0.25">
      <c r="E2092" s="43">
        <f>COUNTIF($O$7:O2092,FORMULARIO!$AA$2)</f>
        <v>1</v>
      </c>
      <c r="M2092" s="46"/>
      <c r="P2092" s="16"/>
    </row>
    <row r="2093" spans="5:16" hidden="1" x14ac:dyDescent="0.25">
      <c r="E2093" s="43">
        <f>COUNTIF($O$7:O2093,FORMULARIO!$AA$2)</f>
        <v>1</v>
      </c>
      <c r="M2093" s="46"/>
      <c r="P2093" s="16"/>
    </row>
    <row r="2094" spans="5:16" hidden="1" x14ac:dyDescent="0.25">
      <c r="E2094" s="43">
        <f>COUNTIF($O$7:O2094,FORMULARIO!$AA$2)</f>
        <v>1</v>
      </c>
      <c r="M2094" s="46"/>
      <c r="P2094" s="16"/>
    </row>
    <row r="2095" spans="5:16" hidden="1" x14ac:dyDescent="0.25">
      <c r="E2095" s="43">
        <f>COUNTIF($O$7:O2095,FORMULARIO!$AA$2)</f>
        <v>1</v>
      </c>
      <c r="M2095" s="46"/>
      <c r="P2095" s="16"/>
    </row>
    <row r="2096" spans="5:16" hidden="1" x14ac:dyDescent="0.25">
      <c r="E2096" s="43">
        <f>COUNTIF($O$7:O2096,FORMULARIO!$AA$2)</f>
        <v>1</v>
      </c>
      <c r="M2096" s="46"/>
      <c r="P2096" s="16"/>
    </row>
    <row r="2097" spans="5:16" hidden="1" x14ac:dyDescent="0.25">
      <c r="E2097" s="43">
        <f>COUNTIF($O$7:O2097,FORMULARIO!$AA$2)</f>
        <v>1</v>
      </c>
      <c r="M2097" s="46"/>
      <c r="P2097" s="16"/>
    </row>
    <row r="2098" spans="5:16" hidden="1" x14ac:dyDescent="0.25">
      <c r="E2098" s="43">
        <f>COUNTIF($O$7:O2098,FORMULARIO!$AA$2)</f>
        <v>1</v>
      </c>
      <c r="M2098" s="46"/>
      <c r="P2098" s="16"/>
    </row>
    <row r="2099" spans="5:16" hidden="1" x14ac:dyDescent="0.25">
      <c r="E2099" s="43">
        <f>COUNTIF($O$7:O2099,FORMULARIO!$AA$2)</f>
        <v>1</v>
      </c>
      <c r="M2099" s="46"/>
      <c r="P2099" s="16"/>
    </row>
    <row r="2100" spans="5:16" hidden="1" x14ac:dyDescent="0.25">
      <c r="E2100" s="43">
        <f>COUNTIF($O$7:O2100,FORMULARIO!$AA$2)</f>
        <v>1</v>
      </c>
      <c r="M2100" s="46"/>
      <c r="P2100" s="16"/>
    </row>
    <row r="2101" spans="5:16" hidden="1" x14ac:dyDescent="0.25">
      <c r="E2101" s="43">
        <f>COUNTIF($O$7:O2101,FORMULARIO!$AA$2)</f>
        <v>1</v>
      </c>
      <c r="M2101" s="46"/>
      <c r="P2101" s="16"/>
    </row>
    <row r="2102" spans="5:16" hidden="1" x14ac:dyDescent="0.25">
      <c r="E2102" s="43">
        <f>COUNTIF($O$7:O2102,FORMULARIO!$AA$2)</f>
        <v>1</v>
      </c>
      <c r="M2102" s="46"/>
      <c r="P2102" s="16"/>
    </row>
    <row r="2103" spans="5:16" hidden="1" x14ac:dyDescent="0.25">
      <c r="E2103" s="43">
        <f>COUNTIF($O$7:O2103,FORMULARIO!$AA$2)</f>
        <v>1</v>
      </c>
      <c r="M2103" s="46"/>
      <c r="P2103" s="16"/>
    </row>
    <row r="2104" spans="5:16" hidden="1" x14ac:dyDescent="0.25">
      <c r="E2104" s="43">
        <f>COUNTIF($O$7:O2104,FORMULARIO!$AA$2)</f>
        <v>1</v>
      </c>
      <c r="M2104" s="46"/>
      <c r="P2104" s="16"/>
    </row>
    <row r="2105" spans="5:16" hidden="1" x14ac:dyDescent="0.25">
      <c r="E2105" s="43">
        <f>COUNTIF($O$7:O2105,FORMULARIO!$AA$2)</f>
        <v>1</v>
      </c>
      <c r="M2105" s="46"/>
      <c r="P2105" s="16"/>
    </row>
    <row r="2106" spans="5:16" hidden="1" x14ac:dyDescent="0.25">
      <c r="E2106" s="43">
        <f>COUNTIF($O$7:O2106,FORMULARIO!$AA$2)</f>
        <v>1</v>
      </c>
      <c r="M2106" s="46"/>
      <c r="P2106" s="16"/>
    </row>
    <row r="2107" spans="5:16" hidden="1" x14ac:dyDescent="0.25">
      <c r="E2107" s="43">
        <f>COUNTIF($O$7:O2107,FORMULARIO!$AA$2)</f>
        <v>1</v>
      </c>
      <c r="M2107" s="46"/>
      <c r="P2107" s="16"/>
    </row>
    <row r="2108" spans="5:16" hidden="1" x14ac:dyDescent="0.25">
      <c r="E2108" s="43">
        <f>COUNTIF($O$7:O2108,FORMULARIO!$AA$2)</f>
        <v>1</v>
      </c>
      <c r="M2108" s="46"/>
      <c r="P2108" s="16"/>
    </row>
    <row r="2109" spans="5:16" hidden="1" x14ac:dyDescent="0.25">
      <c r="E2109" s="43">
        <f>COUNTIF($O$7:O2109,FORMULARIO!$AA$2)</f>
        <v>1</v>
      </c>
      <c r="M2109" s="46"/>
      <c r="P2109" s="16"/>
    </row>
    <row r="2110" spans="5:16" hidden="1" x14ac:dyDescent="0.25">
      <c r="E2110" s="43">
        <f>COUNTIF($O$7:O2110,FORMULARIO!$AA$2)</f>
        <v>1</v>
      </c>
      <c r="M2110" s="46"/>
      <c r="P2110" s="16"/>
    </row>
    <row r="2111" spans="5:16" hidden="1" x14ac:dyDescent="0.25">
      <c r="E2111" s="43">
        <f>COUNTIF($O$7:O2111,FORMULARIO!$AA$2)</f>
        <v>1</v>
      </c>
      <c r="M2111" s="46"/>
      <c r="P2111" s="16"/>
    </row>
    <row r="2112" spans="5:16" hidden="1" x14ac:dyDescent="0.25">
      <c r="E2112" s="43">
        <f>COUNTIF($O$7:O2112,FORMULARIO!$AA$2)</f>
        <v>1</v>
      </c>
      <c r="M2112" s="46"/>
      <c r="P2112" s="16"/>
    </row>
    <row r="2113" spans="5:16" hidden="1" x14ac:dyDescent="0.25">
      <c r="E2113" s="43">
        <f>COUNTIF($O$7:O2113,FORMULARIO!$AA$2)</f>
        <v>1</v>
      </c>
      <c r="M2113" s="46"/>
      <c r="P2113" s="16"/>
    </row>
    <row r="2114" spans="5:16" hidden="1" x14ac:dyDescent="0.25">
      <c r="E2114" s="43">
        <f>COUNTIF($O$7:O2114,FORMULARIO!$AA$2)</f>
        <v>1</v>
      </c>
      <c r="M2114" s="46"/>
      <c r="P2114" s="16"/>
    </row>
    <row r="2115" spans="5:16" hidden="1" x14ac:dyDescent="0.25">
      <c r="E2115" s="43">
        <f>COUNTIF($O$7:O2115,FORMULARIO!$AA$2)</f>
        <v>1</v>
      </c>
      <c r="M2115" s="46"/>
      <c r="P2115" s="16"/>
    </row>
    <row r="2116" spans="5:16" hidden="1" x14ac:dyDescent="0.25">
      <c r="E2116" s="43">
        <f>COUNTIF($O$7:O2116,FORMULARIO!$AA$2)</f>
        <v>1</v>
      </c>
      <c r="M2116" s="46"/>
      <c r="P2116" s="16"/>
    </row>
    <row r="2117" spans="5:16" hidden="1" x14ac:dyDescent="0.25">
      <c r="E2117" s="43">
        <f>COUNTIF($O$7:O2117,FORMULARIO!$AA$2)</f>
        <v>1</v>
      </c>
      <c r="M2117" s="46"/>
      <c r="P2117" s="16"/>
    </row>
    <row r="2118" spans="5:16" hidden="1" x14ac:dyDescent="0.25">
      <c r="E2118" s="43">
        <f>COUNTIF($O$7:O2118,FORMULARIO!$AA$2)</f>
        <v>1</v>
      </c>
      <c r="M2118" s="46"/>
      <c r="P2118" s="16"/>
    </row>
    <row r="2119" spans="5:16" hidden="1" x14ac:dyDescent="0.25">
      <c r="E2119" s="43">
        <f>COUNTIF($O$7:O2119,FORMULARIO!$AA$2)</f>
        <v>1</v>
      </c>
      <c r="M2119" s="46"/>
      <c r="P2119" s="16"/>
    </row>
    <row r="2120" spans="5:16" hidden="1" x14ac:dyDescent="0.25">
      <c r="E2120" s="43">
        <f>COUNTIF($O$7:O2120,FORMULARIO!$AA$2)</f>
        <v>1</v>
      </c>
      <c r="M2120" s="46"/>
      <c r="P2120" s="16"/>
    </row>
    <row r="2121" spans="5:16" hidden="1" x14ac:dyDescent="0.25">
      <c r="E2121" s="43">
        <f>COUNTIF($O$7:O2121,FORMULARIO!$AA$2)</f>
        <v>1</v>
      </c>
      <c r="M2121" s="46"/>
      <c r="P2121" s="16"/>
    </row>
    <row r="2122" spans="5:16" hidden="1" x14ac:dyDescent="0.25">
      <c r="E2122" s="43">
        <f>COUNTIF($O$7:O2122,FORMULARIO!$AA$2)</f>
        <v>1</v>
      </c>
      <c r="M2122" s="46"/>
      <c r="P2122" s="16"/>
    </row>
    <row r="2123" spans="5:16" hidden="1" x14ac:dyDescent="0.25">
      <c r="E2123" s="43">
        <f>COUNTIF($O$7:O2123,FORMULARIO!$AA$2)</f>
        <v>1</v>
      </c>
      <c r="M2123" s="46"/>
      <c r="P2123" s="16"/>
    </row>
    <row r="2124" spans="5:16" hidden="1" x14ac:dyDescent="0.25">
      <c r="E2124" s="43">
        <f>COUNTIF($O$7:O2124,FORMULARIO!$AA$2)</f>
        <v>1</v>
      </c>
      <c r="M2124" s="46"/>
      <c r="P2124" s="16"/>
    </row>
    <row r="2125" spans="5:16" hidden="1" x14ac:dyDescent="0.25">
      <c r="E2125" s="43">
        <f>COUNTIF($O$7:O2125,FORMULARIO!$AA$2)</f>
        <v>1</v>
      </c>
      <c r="M2125" s="46"/>
      <c r="P2125" s="16"/>
    </row>
    <row r="2126" spans="5:16" hidden="1" x14ac:dyDescent="0.25">
      <c r="E2126" s="43">
        <f>COUNTIF($O$7:O2126,FORMULARIO!$AA$2)</f>
        <v>1</v>
      </c>
      <c r="M2126" s="46"/>
      <c r="P2126" s="16"/>
    </row>
    <row r="2127" spans="5:16" hidden="1" x14ac:dyDescent="0.25">
      <c r="E2127" s="43">
        <f>COUNTIF($O$7:O2127,FORMULARIO!$AA$2)</f>
        <v>1</v>
      </c>
      <c r="M2127" s="46"/>
      <c r="P2127" s="16"/>
    </row>
    <row r="2128" spans="5:16" hidden="1" x14ac:dyDescent="0.25">
      <c r="E2128" s="43">
        <f>COUNTIF($O$7:O2128,FORMULARIO!$AA$2)</f>
        <v>1</v>
      </c>
      <c r="M2128" s="46"/>
      <c r="P2128" s="16"/>
    </row>
    <row r="2129" spans="5:16" hidden="1" x14ac:dyDescent="0.25">
      <c r="E2129" s="43">
        <f>COUNTIF($O$7:O2129,FORMULARIO!$AA$2)</f>
        <v>1</v>
      </c>
      <c r="M2129" s="46"/>
      <c r="P2129" s="16"/>
    </row>
    <row r="2130" spans="5:16" hidden="1" x14ac:dyDescent="0.25">
      <c r="E2130" s="43">
        <f>COUNTIF($O$7:O2130,FORMULARIO!$AA$2)</f>
        <v>1</v>
      </c>
      <c r="M2130" s="46"/>
      <c r="P2130" s="16"/>
    </row>
    <row r="2131" spans="5:16" hidden="1" x14ac:dyDescent="0.25">
      <c r="E2131" s="43">
        <f>COUNTIF($O$7:O2131,FORMULARIO!$AA$2)</f>
        <v>1</v>
      </c>
      <c r="M2131" s="46"/>
      <c r="P2131" s="16"/>
    </row>
    <row r="2132" spans="5:16" hidden="1" x14ac:dyDescent="0.25">
      <c r="E2132" s="43">
        <f>COUNTIF($O$7:O2132,FORMULARIO!$AA$2)</f>
        <v>1</v>
      </c>
      <c r="M2132" s="46"/>
      <c r="P2132" s="16"/>
    </row>
    <row r="2133" spans="5:16" hidden="1" x14ac:dyDescent="0.25">
      <c r="E2133" s="43">
        <f>COUNTIF($O$7:O2133,FORMULARIO!$AA$2)</f>
        <v>1</v>
      </c>
      <c r="M2133" s="46"/>
      <c r="P2133" s="16"/>
    </row>
    <row r="2134" spans="5:16" hidden="1" x14ac:dyDescent="0.25">
      <c r="E2134" s="43">
        <f>COUNTIF($O$7:O2134,FORMULARIO!$AA$2)</f>
        <v>1</v>
      </c>
      <c r="M2134" s="46"/>
      <c r="P2134" s="16"/>
    </row>
    <row r="2135" spans="5:16" hidden="1" x14ac:dyDescent="0.25">
      <c r="E2135" s="43">
        <f>COUNTIF($O$7:O2135,FORMULARIO!$AA$2)</f>
        <v>1</v>
      </c>
      <c r="M2135" s="46"/>
      <c r="P2135" s="16"/>
    </row>
    <row r="2136" spans="5:16" hidden="1" x14ac:dyDescent="0.25">
      <c r="E2136" s="43">
        <f>COUNTIF($O$7:O2136,FORMULARIO!$AA$2)</f>
        <v>1</v>
      </c>
      <c r="M2136" s="46"/>
      <c r="P2136" s="16"/>
    </row>
    <row r="2137" spans="5:16" hidden="1" x14ac:dyDescent="0.25">
      <c r="E2137" s="43">
        <f>COUNTIF($O$7:O2137,FORMULARIO!$AA$2)</f>
        <v>1</v>
      </c>
      <c r="M2137" s="46"/>
      <c r="P2137" s="16"/>
    </row>
    <row r="2138" spans="5:16" hidden="1" x14ac:dyDescent="0.25">
      <c r="E2138" s="43">
        <f>COUNTIF($O$7:O2138,FORMULARIO!$AA$2)</f>
        <v>1</v>
      </c>
      <c r="M2138" s="46"/>
      <c r="P2138" s="16"/>
    </row>
    <row r="2139" spans="5:16" hidden="1" x14ac:dyDescent="0.25">
      <c r="E2139" s="43">
        <f>COUNTIF($O$7:O2139,FORMULARIO!$AA$2)</f>
        <v>1</v>
      </c>
      <c r="M2139" s="46"/>
      <c r="P2139" s="16"/>
    </row>
    <row r="2140" spans="5:16" hidden="1" x14ac:dyDescent="0.25">
      <c r="E2140" s="43">
        <f>COUNTIF($O$7:O2140,FORMULARIO!$AA$2)</f>
        <v>1</v>
      </c>
      <c r="M2140" s="46"/>
      <c r="P2140" s="16"/>
    </row>
    <row r="2141" spans="5:16" hidden="1" x14ac:dyDescent="0.25">
      <c r="E2141" s="43">
        <f>COUNTIF($O$7:O2141,FORMULARIO!$AA$2)</f>
        <v>1</v>
      </c>
      <c r="M2141" s="46"/>
      <c r="P2141" s="16"/>
    </row>
    <row r="2142" spans="5:16" hidden="1" x14ac:dyDescent="0.25">
      <c r="E2142" s="43">
        <f>COUNTIF($O$7:O2142,FORMULARIO!$AA$2)</f>
        <v>1</v>
      </c>
      <c r="M2142" s="46"/>
      <c r="P2142" s="16"/>
    </row>
    <row r="2143" spans="5:16" hidden="1" x14ac:dyDescent="0.25">
      <c r="E2143" s="43">
        <f>COUNTIF($O$7:O2143,FORMULARIO!$AA$2)</f>
        <v>1</v>
      </c>
      <c r="M2143" s="46"/>
      <c r="P2143" s="16"/>
    </row>
    <row r="2144" spans="5:16" hidden="1" x14ac:dyDescent="0.25">
      <c r="E2144" s="43">
        <f>COUNTIF($O$7:O2144,FORMULARIO!$AA$2)</f>
        <v>1</v>
      </c>
      <c r="M2144" s="46"/>
      <c r="P2144" s="16"/>
    </row>
    <row r="2145" spans="5:16" hidden="1" x14ac:dyDescent="0.25">
      <c r="E2145" s="43">
        <f>COUNTIF($O$7:O2145,FORMULARIO!$AA$2)</f>
        <v>1</v>
      </c>
      <c r="M2145" s="46"/>
      <c r="P2145" s="16"/>
    </row>
    <row r="2146" spans="5:16" hidden="1" x14ac:dyDescent="0.25">
      <c r="E2146" s="43">
        <f>COUNTIF($O$7:O2146,FORMULARIO!$AA$2)</f>
        <v>1</v>
      </c>
      <c r="M2146" s="46"/>
      <c r="P2146" s="16"/>
    </row>
    <row r="2147" spans="5:16" hidden="1" x14ac:dyDescent="0.25">
      <c r="E2147" s="43">
        <f>COUNTIF($O$7:O2147,FORMULARIO!$AA$2)</f>
        <v>1</v>
      </c>
      <c r="M2147" s="46"/>
      <c r="P2147" s="16"/>
    </row>
    <row r="2148" spans="5:16" hidden="1" x14ac:dyDescent="0.25">
      <c r="E2148" s="43">
        <f>COUNTIF($O$7:O2148,FORMULARIO!$AA$2)</f>
        <v>1</v>
      </c>
      <c r="M2148" s="46"/>
      <c r="P2148" s="16"/>
    </row>
    <row r="2149" spans="5:16" hidden="1" x14ac:dyDescent="0.25">
      <c r="E2149" s="43">
        <f>COUNTIF($O$7:O2149,FORMULARIO!$AA$2)</f>
        <v>1</v>
      </c>
      <c r="M2149" s="46"/>
      <c r="P2149" s="16"/>
    </row>
    <row r="2150" spans="5:16" hidden="1" x14ac:dyDescent="0.25">
      <c r="E2150" s="43">
        <f>COUNTIF($O$7:O2150,FORMULARIO!$AA$2)</f>
        <v>1</v>
      </c>
      <c r="M2150" s="46"/>
      <c r="P2150" s="16"/>
    </row>
    <row r="2151" spans="5:16" hidden="1" x14ac:dyDescent="0.25">
      <c r="E2151" s="43">
        <f>COUNTIF($O$7:O2151,FORMULARIO!$AA$2)</f>
        <v>1</v>
      </c>
      <c r="M2151" s="46"/>
      <c r="P2151" s="16"/>
    </row>
    <row r="2152" spans="5:16" hidden="1" x14ac:dyDescent="0.25">
      <c r="E2152" s="43">
        <f>COUNTIF($O$7:O2152,FORMULARIO!$AA$2)</f>
        <v>1</v>
      </c>
      <c r="M2152" s="46"/>
      <c r="P2152" s="16"/>
    </row>
    <row r="2153" spans="5:16" hidden="1" x14ac:dyDescent="0.25">
      <c r="E2153" s="43">
        <f>COUNTIF($O$7:O2153,FORMULARIO!$AA$2)</f>
        <v>1</v>
      </c>
      <c r="M2153" s="46"/>
      <c r="P2153" s="16"/>
    </row>
    <row r="2154" spans="5:16" hidden="1" x14ac:dyDescent="0.25">
      <c r="E2154" s="43">
        <f>COUNTIF($O$7:O2154,FORMULARIO!$AA$2)</f>
        <v>1</v>
      </c>
      <c r="M2154" s="46"/>
      <c r="P2154" s="16"/>
    </row>
    <row r="2155" spans="5:16" hidden="1" x14ac:dyDescent="0.25">
      <c r="E2155" s="43">
        <f>COUNTIF($O$7:O2155,FORMULARIO!$AA$2)</f>
        <v>1</v>
      </c>
      <c r="M2155" s="46"/>
      <c r="P2155" s="16"/>
    </row>
    <row r="2156" spans="5:16" hidden="1" x14ac:dyDescent="0.25">
      <c r="E2156" s="43">
        <f>COUNTIF($O$7:O2156,FORMULARIO!$AA$2)</f>
        <v>1</v>
      </c>
      <c r="M2156" s="46"/>
      <c r="P2156" s="16"/>
    </row>
    <row r="2157" spans="5:16" hidden="1" x14ac:dyDescent="0.25">
      <c r="E2157" s="43">
        <f>COUNTIF($O$7:O2157,FORMULARIO!$AA$2)</f>
        <v>1</v>
      </c>
      <c r="M2157" s="46"/>
      <c r="P2157" s="16"/>
    </row>
    <row r="2158" spans="5:16" hidden="1" x14ac:dyDescent="0.25">
      <c r="E2158" s="43">
        <f>COUNTIF($O$7:O2158,FORMULARIO!$AA$2)</f>
        <v>1</v>
      </c>
      <c r="M2158" s="46"/>
      <c r="P2158" s="16"/>
    </row>
    <row r="2159" spans="5:16" hidden="1" x14ac:dyDescent="0.25">
      <c r="E2159" s="43">
        <f>COUNTIF($O$7:O2159,FORMULARIO!$AA$2)</f>
        <v>1</v>
      </c>
      <c r="M2159" s="46"/>
      <c r="P2159" s="16"/>
    </row>
    <row r="2160" spans="5:16" hidden="1" x14ac:dyDescent="0.25">
      <c r="E2160" s="43">
        <f>COUNTIF($O$7:O2160,FORMULARIO!$AA$2)</f>
        <v>1</v>
      </c>
      <c r="M2160" s="46"/>
      <c r="P2160" s="16"/>
    </row>
    <row r="2161" spans="5:16" hidden="1" x14ac:dyDescent="0.25">
      <c r="E2161" s="43">
        <f>COUNTIF($O$7:O2161,FORMULARIO!$AA$2)</f>
        <v>1</v>
      </c>
      <c r="M2161" s="46"/>
      <c r="P2161" s="16"/>
    </row>
    <row r="2162" spans="5:16" hidden="1" x14ac:dyDescent="0.25">
      <c r="E2162" s="43">
        <f>COUNTIF($O$7:O2162,FORMULARIO!$AA$2)</f>
        <v>1</v>
      </c>
      <c r="M2162" s="46"/>
      <c r="P2162" s="16"/>
    </row>
    <row r="2163" spans="5:16" hidden="1" x14ac:dyDescent="0.25">
      <c r="E2163" s="43">
        <f>COUNTIF($O$7:O2163,FORMULARIO!$AA$2)</f>
        <v>1</v>
      </c>
      <c r="M2163" s="46"/>
      <c r="P2163" s="16"/>
    </row>
    <row r="2164" spans="5:16" hidden="1" x14ac:dyDescent="0.25">
      <c r="E2164" s="43">
        <f>COUNTIF($O$7:O2164,FORMULARIO!$AA$2)</f>
        <v>1</v>
      </c>
      <c r="M2164" s="46"/>
      <c r="P2164" s="16"/>
    </row>
    <row r="2165" spans="5:16" hidden="1" x14ac:dyDescent="0.25">
      <c r="E2165" s="43">
        <f>COUNTIF($O$7:O2165,FORMULARIO!$AA$2)</f>
        <v>1</v>
      </c>
      <c r="M2165" s="46"/>
      <c r="P2165" s="16"/>
    </row>
    <row r="2166" spans="5:16" hidden="1" x14ac:dyDescent="0.25">
      <c r="E2166" s="43">
        <f>COUNTIF($O$7:O2166,FORMULARIO!$AA$2)</f>
        <v>1</v>
      </c>
      <c r="M2166" s="46"/>
      <c r="P2166" s="16"/>
    </row>
    <row r="2167" spans="5:16" hidden="1" x14ac:dyDescent="0.25">
      <c r="E2167" s="43">
        <f>COUNTIF($O$7:O2167,FORMULARIO!$AA$2)</f>
        <v>1</v>
      </c>
      <c r="M2167" s="46"/>
      <c r="P2167" s="16"/>
    </row>
    <row r="2168" spans="5:16" hidden="1" x14ac:dyDescent="0.25">
      <c r="E2168" s="43">
        <f>COUNTIF($O$7:O2168,FORMULARIO!$AA$2)</f>
        <v>1</v>
      </c>
      <c r="M2168" s="46"/>
      <c r="P2168" s="16"/>
    </row>
    <row r="2169" spans="5:16" hidden="1" x14ac:dyDescent="0.25">
      <c r="E2169" s="43">
        <f>COUNTIF($O$7:O2169,FORMULARIO!$AA$2)</f>
        <v>1</v>
      </c>
      <c r="M2169" s="46"/>
      <c r="P2169" s="16"/>
    </row>
    <row r="2170" spans="5:16" hidden="1" x14ac:dyDescent="0.25">
      <c r="E2170" s="43">
        <f>COUNTIF($O$7:O2170,FORMULARIO!$AA$2)</f>
        <v>1</v>
      </c>
      <c r="M2170" s="46"/>
      <c r="P2170" s="16"/>
    </row>
    <row r="2171" spans="5:16" hidden="1" x14ac:dyDescent="0.25">
      <c r="E2171" s="43">
        <f>COUNTIF($O$7:O2171,FORMULARIO!$AA$2)</f>
        <v>1</v>
      </c>
      <c r="M2171" s="46"/>
      <c r="P2171" s="16"/>
    </row>
    <row r="2172" spans="5:16" hidden="1" x14ac:dyDescent="0.25">
      <c r="E2172" s="43">
        <f>COUNTIF($O$7:O2172,FORMULARIO!$AA$2)</f>
        <v>1</v>
      </c>
      <c r="M2172" s="46"/>
      <c r="P2172" s="16"/>
    </row>
    <row r="2173" spans="5:16" hidden="1" x14ac:dyDescent="0.25">
      <c r="E2173" s="43">
        <f>COUNTIF($O$7:O2173,FORMULARIO!$AA$2)</f>
        <v>1</v>
      </c>
      <c r="M2173" s="46"/>
      <c r="P2173" s="16"/>
    </row>
    <row r="2174" spans="5:16" hidden="1" x14ac:dyDescent="0.25">
      <c r="E2174" s="43">
        <f>COUNTIF($O$7:O2174,FORMULARIO!$AA$2)</f>
        <v>1</v>
      </c>
      <c r="M2174" s="46"/>
      <c r="P2174" s="16"/>
    </row>
    <row r="2175" spans="5:16" hidden="1" x14ac:dyDescent="0.25">
      <c r="E2175" s="43">
        <f>COUNTIF($O$7:O2175,FORMULARIO!$AA$2)</f>
        <v>1</v>
      </c>
      <c r="M2175" s="46"/>
      <c r="P2175" s="16"/>
    </row>
    <row r="2176" spans="5:16" hidden="1" x14ac:dyDescent="0.25">
      <c r="E2176" s="43">
        <f>COUNTIF($O$7:O2176,FORMULARIO!$AA$2)</f>
        <v>1</v>
      </c>
      <c r="M2176" s="46"/>
      <c r="P2176" s="16"/>
    </row>
    <row r="2177" spans="5:16" hidden="1" x14ac:dyDescent="0.25">
      <c r="E2177" s="43">
        <f>COUNTIF($O$7:O2177,FORMULARIO!$AA$2)</f>
        <v>1</v>
      </c>
      <c r="M2177" s="46"/>
      <c r="P2177" s="16"/>
    </row>
    <row r="2178" spans="5:16" hidden="1" x14ac:dyDescent="0.25">
      <c r="E2178" s="43">
        <f>COUNTIF($O$7:O2178,FORMULARIO!$AA$2)</f>
        <v>1</v>
      </c>
      <c r="M2178" s="46"/>
      <c r="P2178" s="16"/>
    </row>
    <row r="2179" spans="5:16" hidden="1" x14ac:dyDescent="0.25">
      <c r="E2179" s="43">
        <f>COUNTIF($O$7:O2179,FORMULARIO!$AA$2)</f>
        <v>1</v>
      </c>
      <c r="M2179" s="46"/>
      <c r="P2179" s="16"/>
    </row>
    <row r="2180" spans="5:16" hidden="1" x14ac:dyDescent="0.25">
      <c r="E2180" s="43">
        <f>COUNTIF($O$7:O2180,FORMULARIO!$AA$2)</f>
        <v>1</v>
      </c>
      <c r="M2180" s="46"/>
      <c r="P2180" s="16"/>
    </row>
    <row r="2181" spans="5:16" hidden="1" x14ac:dyDescent="0.25">
      <c r="E2181" s="43">
        <f>COUNTIF($O$7:O2181,FORMULARIO!$AA$2)</f>
        <v>1</v>
      </c>
      <c r="M2181" s="46"/>
      <c r="P2181" s="16"/>
    </row>
    <row r="2182" spans="5:16" hidden="1" x14ac:dyDescent="0.25">
      <c r="E2182" s="43">
        <f>COUNTIF($O$7:O2182,FORMULARIO!$AA$2)</f>
        <v>1</v>
      </c>
      <c r="M2182" s="46"/>
      <c r="P2182" s="16"/>
    </row>
    <row r="2183" spans="5:16" hidden="1" x14ac:dyDescent="0.25">
      <c r="E2183" s="43">
        <f>COUNTIF($O$7:O2183,FORMULARIO!$AA$2)</f>
        <v>1</v>
      </c>
      <c r="M2183" s="46"/>
      <c r="P2183" s="16"/>
    </row>
    <row r="2184" spans="5:16" hidden="1" x14ac:dyDescent="0.25">
      <c r="E2184" s="43">
        <f>COUNTIF($O$7:O2184,FORMULARIO!$AA$2)</f>
        <v>1</v>
      </c>
      <c r="M2184" s="46"/>
      <c r="P2184" s="16"/>
    </row>
    <row r="2185" spans="5:16" hidden="1" x14ac:dyDescent="0.25">
      <c r="E2185" s="43">
        <f>COUNTIF($O$7:O2185,FORMULARIO!$AA$2)</f>
        <v>1</v>
      </c>
      <c r="M2185" s="46"/>
      <c r="P2185" s="16"/>
    </row>
    <row r="2186" spans="5:16" hidden="1" x14ac:dyDescent="0.25">
      <c r="E2186" s="43">
        <f>COUNTIF($O$7:O2186,FORMULARIO!$AA$2)</f>
        <v>1</v>
      </c>
      <c r="M2186" s="46"/>
      <c r="P2186" s="16"/>
    </row>
    <row r="2187" spans="5:16" hidden="1" x14ac:dyDescent="0.25">
      <c r="E2187" s="43">
        <f>COUNTIF($O$7:O2187,FORMULARIO!$AA$2)</f>
        <v>1</v>
      </c>
      <c r="M2187" s="46"/>
      <c r="P2187" s="16"/>
    </row>
    <row r="2188" spans="5:16" hidden="1" x14ac:dyDescent="0.25">
      <c r="E2188" s="43">
        <f>COUNTIF($O$7:O2188,FORMULARIO!$AA$2)</f>
        <v>1</v>
      </c>
      <c r="M2188" s="46"/>
      <c r="P2188" s="16"/>
    </row>
    <row r="2189" spans="5:16" hidden="1" x14ac:dyDescent="0.25">
      <c r="E2189" s="43">
        <f>COUNTIF($O$7:O2189,FORMULARIO!$AA$2)</f>
        <v>1</v>
      </c>
      <c r="M2189" s="46"/>
      <c r="P2189" s="16"/>
    </row>
    <row r="2190" spans="5:16" hidden="1" x14ac:dyDescent="0.25">
      <c r="E2190" s="43">
        <f>COUNTIF($O$7:O2190,FORMULARIO!$AA$2)</f>
        <v>1</v>
      </c>
      <c r="M2190" s="46"/>
      <c r="P2190" s="16"/>
    </row>
    <row r="2191" spans="5:16" hidden="1" x14ac:dyDescent="0.25">
      <c r="E2191" s="43">
        <f>COUNTIF($O$7:O2191,FORMULARIO!$AA$2)</f>
        <v>1</v>
      </c>
      <c r="M2191" s="46"/>
      <c r="P2191" s="16"/>
    </row>
    <row r="2192" spans="5:16" hidden="1" x14ac:dyDescent="0.25">
      <c r="E2192" s="43">
        <f>COUNTIF($O$7:O2192,FORMULARIO!$AA$2)</f>
        <v>1</v>
      </c>
      <c r="M2192" s="46"/>
      <c r="P2192" s="16"/>
    </row>
    <row r="2193" spans="5:16" hidden="1" x14ac:dyDescent="0.25">
      <c r="E2193" s="43">
        <f>COUNTIF($O$7:O2193,FORMULARIO!$AA$2)</f>
        <v>1</v>
      </c>
      <c r="M2193" s="46"/>
      <c r="P2193" s="16"/>
    </row>
    <row r="2194" spans="5:16" hidden="1" x14ac:dyDescent="0.25">
      <c r="E2194" s="43">
        <f>COUNTIF($O$7:O2194,FORMULARIO!$AA$2)</f>
        <v>1</v>
      </c>
      <c r="M2194" s="46"/>
      <c r="P2194" s="16"/>
    </row>
    <row r="2195" spans="5:16" hidden="1" x14ac:dyDescent="0.25">
      <c r="E2195" s="43">
        <f>COUNTIF($O$7:O2195,FORMULARIO!$AA$2)</f>
        <v>1</v>
      </c>
      <c r="M2195" s="46"/>
      <c r="P2195" s="16"/>
    </row>
    <row r="2196" spans="5:16" hidden="1" x14ac:dyDescent="0.25">
      <c r="E2196" s="43">
        <f>COUNTIF($O$7:O2196,FORMULARIO!$AA$2)</f>
        <v>1</v>
      </c>
      <c r="M2196" s="46"/>
      <c r="P2196" s="16"/>
    </row>
    <row r="2197" spans="5:16" hidden="1" x14ac:dyDescent="0.25">
      <c r="E2197" s="43">
        <f>COUNTIF($O$7:O2197,FORMULARIO!$AA$2)</f>
        <v>1</v>
      </c>
      <c r="M2197" s="46"/>
      <c r="P2197" s="16"/>
    </row>
    <row r="2198" spans="5:16" hidden="1" x14ac:dyDescent="0.25">
      <c r="E2198" s="43">
        <f>COUNTIF($O$7:O2198,FORMULARIO!$AA$2)</f>
        <v>1</v>
      </c>
      <c r="M2198" s="46"/>
      <c r="P2198" s="16"/>
    </row>
    <row r="2199" spans="5:16" hidden="1" x14ac:dyDescent="0.25">
      <c r="E2199" s="43">
        <f>COUNTIF($O$7:O2199,FORMULARIO!$AA$2)</f>
        <v>1</v>
      </c>
      <c r="M2199" s="46"/>
      <c r="P2199" s="16"/>
    </row>
    <row r="2200" spans="5:16" hidden="1" x14ac:dyDescent="0.25">
      <c r="E2200" s="43">
        <f>COUNTIF($O$7:O2200,FORMULARIO!$AA$2)</f>
        <v>1</v>
      </c>
      <c r="M2200" s="46"/>
      <c r="P2200" s="16"/>
    </row>
    <row r="2201" spans="5:16" hidden="1" x14ac:dyDescent="0.25">
      <c r="E2201" s="43">
        <f>COUNTIF($O$7:O2201,FORMULARIO!$AA$2)</f>
        <v>1</v>
      </c>
      <c r="M2201" s="46"/>
      <c r="P2201" s="16"/>
    </row>
    <row r="2202" spans="5:16" hidden="1" x14ac:dyDescent="0.25">
      <c r="E2202" s="43">
        <f>COUNTIF($O$7:O2202,FORMULARIO!$AA$2)</f>
        <v>1</v>
      </c>
      <c r="M2202" s="46"/>
      <c r="P2202" s="16"/>
    </row>
    <row r="2203" spans="5:16" hidden="1" x14ac:dyDescent="0.25">
      <c r="E2203" s="43">
        <f>COUNTIF($O$7:O2203,FORMULARIO!$AA$2)</f>
        <v>1</v>
      </c>
      <c r="M2203" s="46"/>
      <c r="P2203" s="16"/>
    </row>
    <row r="2204" spans="5:16" hidden="1" x14ac:dyDescent="0.25">
      <c r="E2204" s="43">
        <f>COUNTIF($O$7:O2204,FORMULARIO!$AA$2)</f>
        <v>1</v>
      </c>
      <c r="M2204" s="46"/>
      <c r="P2204" s="16"/>
    </row>
    <row r="2205" spans="5:16" hidden="1" x14ac:dyDescent="0.25">
      <c r="E2205" s="43">
        <f>COUNTIF($O$7:O2205,FORMULARIO!$AA$2)</f>
        <v>1</v>
      </c>
      <c r="M2205" s="46"/>
      <c r="P2205" s="16"/>
    </row>
    <row r="2206" spans="5:16" hidden="1" x14ac:dyDescent="0.25">
      <c r="E2206" s="43">
        <f>COUNTIF($O$7:O2206,FORMULARIO!$AA$2)</f>
        <v>1</v>
      </c>
      <c r="M2206" s="46"/>
      <c r="P2206" s="16"/>
    </row>
    <row r="2207" spans="5:16" hidden="1" x14ac:dyDescent="0.25">
      <c r="E2207" s="43">
        <f>COUNTIF($O$7:O2207,FORMULARIO!$AA$2)</f>
        <v>1</v>
      </c>
      <c r="M2207" s="46"/>
      <c r="P2207" s="16"/>
    </row>
    <row r="2208" spans="5:16" hidden="1" x14ac:dyDescent="0.25">
      <c r="E2208" s="43">
        <f>COUNTIF($O$7:O2208,FORMULARIO!$AA$2)</f>
        <v>1</v>
      </c>
      <c r="M2208" s="46"/>
      <c r="P2208" s="16"/>
    </row>
    <row r="2209" spans="5:16" hidden="1" x14ac:dyDescent="0.25">
      <c r="E2209" s="43">
        <f>COUNTIF($O$7:O2209,FORMULARIO!$AA$2)</f>
        <v>1</v>
      </c>
      <c r="M2209" s="46"/>
      <c r="P2209" s="16"/>
    </row>
    <row r="2210" spans="5:16" hidden="1" x14ac:dyDescent="0.25">
      <c r="E2210" s="43">
        <f>COUNTIF($O$7:O2210,FORMULARIO!$AA$2)</f>
        <v>1</v>
      </c>
      <c r="M2210" s="46"/>
      <c r="P2210" s="16"/>
    </row>
    <row r="2211" spans="5:16" hidden="1" x14ac:dyDescent="0.25">
      <c r="E2211" s="43">
        <f>COUNTIF($O$7:O2211,FORMULARIO!$AA$2)</f>
        <v>1</v>
      </c>
      <c r="M2211" s="46"/>
      <c r="P2211" s="16"/>
    </row>
    <row r="2212" spans="5:16" hidden="1" x14ac:dyDescent="0.25">
      <c r="E2212" s="43">
        <f>COUNTIF($O$7:O2212,FORMULARIO!$AA$2)</f>
        <v>1</v>
      </c>
      <c r="M2212" s="46"/>
      <c r="P2212" s="16"/>
    </row>
    <row r="2213" spans="5:16" hidden="1" x14ac:dyDescent="0.25">
      <c r="E2213" s="43">
        <f>COUNTIF($O$7:O2213,FORMULARIO!$AA$2)</f>
        <v>1</v>
      </c>
      <c r="M2213" s="46"/>
      <c r="P2213" s="16"/>
    </row>
    <row r="2214" spans="5:16" hidden="1" x14ac:dyDescent="0.25">
      <c r="E2214" s="43">
        <f>COUNTIF($O$7:O2214,FORMULARIO!$AA$2)</f>
        <v>1</v>
      </c>
      <c r="M2214" s="46"/>
      <c r="P2214" s="16"/>
    </row>
    <row r="2215" spans="5:16" hidden="1" x14ac:dyDescent="0.25">
      <c r="E2215" s="43">
        <f>COUNTIF($O$7:O2215,FORMULARIO!$AA$2)</f>
        <v>1</v>
      </c>
      <c r="M2215" s="46"/>
      <c r="P2215" s="16"/>
    </row>
    <row r="2216" spans="5:16" hidden="1" x14ac:dyDescent="0.25">
      <c r="E2216" s="43">
        <f>COUNTIF($O$7:O2216,FORMULARIO!$AA$2)</f>
        <v>1</v>
      </c>
      <c r="M2216" s="46"/>
      <c r="P2216" s="16"/>
    </row>
    <row r="2217" spans="5:16" hidden="1" x14ac:dyDescent="0.25">
      <c r="E2217" s="43">
        <f>COUNTIF($O$7:O2217,FORMULARIO!$AA$2)</f>
        <v>1</v>
      </c>
      <c r="M2217" s="46"/>
      <c r="P2217" s="16"/>
    </row>
    <row r="2218" spans="5:16" hidden="1" x14ac:dyDescent="0.25">
      <c r="E2218" s="43">
        <f>COUNTIF($O$7:O2218,FORMULARIO!$AA$2)</f>
        <v>1</v>
      </c>
      <c r="M2218" s="46"/>
      <c r="P2218" s="16"/>
    </row>
    <row r="2219" spans="5:16" hidden="1" x14ac:dyDescent="0.25">
      <c r="E2219" s="43">
        <f>COUNTIF($O$7:O2219,FORMULARIO!$AA$2)</f>
        <v>1</v>
      </c>
      <c r="M2219" s="46"/>
      <c r="P2219" s="16"/>
    </row>
    <row r="2220" spans="5:16" hidden="1" x14ac:dyDescent="0.25">
      <c r="E2220" s="43">
        <f>COUNTIF($O$7:O2220,FORMULARIO!$AA$2)</f>
        <v>1</v>
      </c>
      <c r="M2220" s="46"/>
      <c r="P2220" s="16"/>
    </row>
    <row r="2221" spans="5:16" hidden="1" x14ac:dyDescent="0.25">
      <c r="E2221" s="43">
        <f>COUNTIF($O$7:O2221,FORMULARIO!$AA$2)</f>
        <v>1</v>
      </c>
      <c r="M2221" s="46"/>
      <c r="P2221" s="16"/>
    </row>
    <row r="2222" spans="5:16" hidden="1" x14ac:dyDescent="0.25">
      <c r="E2222" s="43">
        <f>COUNTIF($O$7:O2222,FORMULARIO!$AA$2)</f>
        <v>1</v>
      </c>
      <c r="M2222" s="46"/>
      <c r="P2222" s="16"/>
    </row>
    <row r="2223" spans="5:16" hidden="1" x14ac:dyDescent="0.25">
      <c r="E2223" s="43">
        <f>COUNTIF($O$7:O2223,FORMULARIO!$AA$2)</f>
        <v>1</v>
      </c>
      <c r="M2223" s="46"/>
      <c r="P2223" s="16"/>
    </row>
    <row r="2224" spans="5:16" hidden="1" x14ac:dyDescent="0.25">
      <c r="E2224" s="43">
        <f>COUNTIF($O$7:O2224,FORMULARIO!$AA$2)</f>
        <v>1</v>
      </c>
      <c r="M2224" s="46"/>
      <c r="P2224" s="16"/>
    </row>
    <row r="2225" spans="5:16" hidden="1" x14ac:dyDescent="0.25">
      <c r="E2225" s="43">
        <f>COUNTIF($O$7:O2225,FORMULARIO!$AA$2)</f>
        <v>1</v>
      </c>
      <c r="M2225" s="46"/>
      <c r="P2225" s="16"/>
    </row>
    <row r="2226" spans="5:16" hidden="1" x14ac:dyDescent="0.25">
      <c r="E2226" s="43">
        <f>COUNTIF($O$7:O2226,FORMULARIO!$AA$2)</f>
        <v>1</v>
      </c>
      <c r="M2226" s="46"/>
      <c r="P2226" s="16"/>
    </row>
    <row r="2227" spans="5:16" hidden="1" x14ac:dyDescent="0.25">
      <c r="E2227" s="43">
        <f>COUNTIF($O$7:O2227,FORMULARIO!$AA$2)</f>
        <v>1</v>
      </c>
      <c r="M2227" s="46"/>
      <c r="P2227" s="16"/>
    </row>
    <row r="2228" spans="5:16" hidden="1" x14ac:dyDescent="0.25">
      <c r="E2228" s="43">
        <f>COUNTIF($O$7:O2228,FORMULARIO!$AA$2)</f>
        <v>1</v>
      </c>
      <c r="M2228" s="46"/>
      <c r="P2228" s="16"/>
    </row>
    <row r="2229" spans="5:16" hidden="1" x14ac:dyDescent="0.25">
      <c r="E2229" s="43">
        <f>COUNTIF($O$7:O2229,FORMULARIO!$AA$2)</f>
        <v>1</v>
      </c>
      <c r="M2229" s="46"/>
      <c r="P2229" s="16"/>
    </row>
    <row r="2230" spans="5:16" hidden="1" x14ac:dyDescent="0.25">
      <c r="E2230" s="43">
        <f>COUNTIF($O$7:O2230,FORMULARIO!$AA$2)</f>
        <v>1</v>
      </c>
      <c r="M2230" s="46"/>
      <c r="P2230" s="16"/>
    </row>
    <row r="2231" spans="5:16" hidden="1" x14ac:dyDescent="0.25">
      <c r="E2231" s="43">
        <f>COUNTIF($O$7:O2231,FORMULARIO!$AA$2)</f>
        <v>1</v>
      </c>
      <c r="M2231" s="46"/>
      <c r="P2231" s="16"/>
    </row>
    <row r="2232" spans="5:16" hidden="1" x14ac:dyDescent="0.25">
      <c r="E2232" s="43">
        <f>COUNTIF($O$7:O2232,FORMULARIO!$AA$2)</f>
        <v>1</v>
      </c>
      <c r="M2232" s="46"/>
      <c r="P2232" s="16"/>
    </row>
    <row r="2233" spans="5:16" hidden="1" x14ac:dyDescent="0.25">
      <c r="E2233" s="43">
        <f>COUNTIF($O$7:O2233,FORMULARIO!$AA$2)</f>
        <v>1</v>
      </c>
      <c r="M2233" s="46"/>
      <c r="P2233" s="16"/>
    </row>
    <row r="2234" spans="5:16" hidden="1" x14ac:dyDescent="0.25">
      <c r="E2234" s="43">
        <f>COUNTIF($O$7:O2234,FORMULARIO!$AA$2)</f>
        <v>1</v>
      </c>
      <c r="M2234" s="46"/>
      <c r="P2234" s="16"/>
    </row>
    <row r="2235" spans="5:16" hidden="1" x14ac:dyDescent="0.25">
      <c r="E2235" s="43">
        <f>COUNTIF($O$7:O2235,FORMULARIO!$AA$2)</f>
        <v>1</v>
      </c>
      <c r="M2235" s="46"/>
      <c r="P2235" s="16"/>
    </row>
    <row r="2236" spans="5:16" hidden="1" x14ac:dyDescent="0.25">
      <c r="E2236" s="43">
        <f>COUNTIF($O$7:O2236,FORMULARIO!$AA$2)</f>
        <v>1</v>
      </c>
      <c r="M2236" s="46"/>
      <c r="P2236" s="16"/>
    </row>
    <row r="2237" spans="5:16" hidden="1" x14ac:dyDescent="0.25">
      <c r="E2237" s="43">
        <f>COUNTIF($O$7:O2237,FORMULARIO!$AA$2)</f>
        <v>1</v>
      </c>
      <c r="M2237" s="46"/>
      <c r="P2237" s="16"/>
    </row>
    <row r="2238" spans="5:16" hidden="1" x14ac:dyDescent="0.25">
      <c r="E2238" s="43">
        <f>COUNTIF($O$7:O2238,FORMULARIO!$AA$2)</f>
        <v>1</v>
      </c>
      <c r="M2238" s="46"/>
      <c r="P2238" s="16"/>
    </row>
    <row r="2239" spans="5:16" hidden="1" x14ac:dyDescent="0.25">
      <c r="E2239" s="43">
        <f>COUNTIF($O$7:O2239,FORMULARIO!$AA$2)</f>
        <v>1</v>
      </c>
      <c r="M2239" s="46"/>
      <c r="P2239" s="16"/>
    </row>
    <row r="2240" spans="5:16" hidden="1" x14ac:dyDescent="0.25">
      <c r="E2240" s="43">
        <f>COUNTIF($O$7:O2240,FORMULARIO!$AA$2)</f>
        <v>1</v>
      </c>
      <c r="M2240" s="46"/>
      <c r="P2240" s="16"/>
    </row>
    <row r="2241" spans="5:16" hidden="1" x14ac:dyDescent="0.25">
      <c r="E2241" s="43">
        <f>COUNTIF($O$7:O2241,FORMULARIO!$AA$2)</f>
        <v>1</v>
      </c>
      <c r="M2241" s="46"/>
      <c r="P2241" s="16"/>
    </row>
    <row r="2242" spans="5:16" hidden="1" x14ac:dyDescent="0.25">
      <c r="E2242" s="43">
        <f>COUNTIF($O$7:O2242,FORMULARIO!$AA$2)</f>
        <v>1</v>
      </c>
      <c r="M2242" s="46"/>
      <c r="P2242" s="16"/>
    </row>
    <row r="2243" spans="5:16" hidden="1" x14ac:dyDescent="0.25">
      <c r="E2243" s="43">
        <f>COUNTIF($O$7:O2243,FORMULARIO!$AA$2)</f>
        <v>1</v>
      </c>
      <c r="M2243" s="46"/>
      <c r="P2243" s="16"/>
    </row>
    <row r="2244" spans="5:16" hidden="1" x14ac:dyDescent="0.25">
      <c r="E2244" s="43">
        <f>COUNTIF($O$7:O2244,FORMULARIO!$AA$2)</f>
        <v>1</v>
      </c>
      <c r="M2244" s="46"/>
      <c r="P2244" s="16"/>
    </row>
    <row r="2245" spans="5:16" hidden="1" x14ac:dyDescent="0.25">
      <c r="E2245" s="43">
        <f>COUNTIF($O$7:O2245,FORMULARIO!$AA$2)</f>
        <v>1</v>
      </c>
      <c r="M2245" s="46"/>
      <c r="P2245" s="16"/>
    </row>
    <row r="2246" spans="5:16" hidden="1" x14ac:dyDescent="0.25">
      <c r="E2246" s="43">
        <f>COUNTIF($O$7:O2246,FORMULARIO!$AA$2)</f>
        <v>1</v>
      </c>
      <c r="M2246" s="46"/>
      <c r="P2246" s="16"/>
    </row>
    <row r="2247" spans="5:16" hidden="1" x14ac:dyDescent="0.25">
      <c r="E2247" s="43">
        <f>COUNTIF($O$7:O2247,FORMULARIO!$AA$2)</f>
        <v>1</v>
      </c>
      <c r="M2247" s="46"/>
      <c r="P2247" s="16"/>
    </row>
    <row r="2248" spans="5:16" hidden="1" x14ac:dyDescent="0.25">
      <c r="E2248" s="43">
        <f>COUNTIF($O$7:O2248,FORMULARIO!$AA$2)</f>
        <v>1</v>
      </c>
      <c r="M2248" s="46"/>
      <c r="P2248" s="16"/>
    </row>
    <row r="2249" spans="5:16" hidden="1" x14ac:dyDescent="0.25">
      <c r="E2249" s="43">
        <f>COUNTIF($O$7:O2249,FORMULARIO!$AA$2)</f>
        <v>1</v>
      </c>
      <c r="M2249" s="46"/>
      <c r="P2249" s="16"/>
    </row>
    <row r="2250" spans="5:16" hidden="1" x14ac:dyDescent="0.25">
      <c r="E2250" s="43">
        <f>COUNTIF($O$7:O2250,FORMULARIO!$AA$2)</f>
        <v>1</v>
      </c>
      <c r="M2250" s="46"/>
      <c r="P2250" s="16"/>
    </row>
    <row r="2251" spans="5:16" hidden="1" x14ac:dyDescent="0.25">
      <c r="E2251" s="43">
        <f>COUNTIF($O$7:O2251,FORMULARIO!$AA$2)</f>
        <v>1</v>
      </c>
      <c r="M2251" s="46"/>
      <c r="P2251" s="16"/>
    </row>
    <row r="2252" spans="5:16" hidden="1" x14ac:dyDescent="0.25">
      <c r="E2252" s="43">
        <f>COUNTIF($O$7:O2252,FORMULARIO!$AA$2)</f>
        <v>1</v>
      </c>
      <c r="M2252" s="46"/>
      <c r="P2252" s="16"/>
    </row>
    <row r="2253" spans="5:16" hidden="1" x14ac:dyDescent="0.25">
      <c r="E2253" s="43">
        <f>COUNTIF($O$7:O2253,FORMULARIO!$AA$2)</f>
        <v>1</v>
      </c>
      <c r="M2253" s="46"/>
      <c r="P2253" s="16"/>
    </row>
    <row r="2254" spans="5:16" hidden="1" x14ac:dyDescent="0.25">
      <c r="E2254" s="43">
        <f>COUNTIF($O$7:O2254,FORMULARIO!$AA$2)</f>
        <v>1</v>
      </c>
      <c r="M2254" s="46"/>
      <c r="P2254" s="16"/>
    </row>
    <row r="2255" spans="5:16" hidden="1" x14ac:dyDescent="0.25">
      <c r="E2255" s="43">
        <f>COUNTIF($O$7:O2255,FORMULARIO!$AA$2)</f>
        <v>1</v>
      </c>
      <c r="M2255" s="46"/>
      <c r="P2255" s="16"/>
    </row>
    <row r="2256" spans="5:16" hidden="1" x14ac:dyDescent="0.25">
      <c r="E2256" s="43">
        <f>COUNTIF($O$7:O2256,FORMULARIO!$AA$2)</f>
        <v>1</v>
      </c>
      <c r="M2256" s="46"/>
      <c r="P2256" s="16"/>
    </row>
    <row r="2257" spans="5:16" hidden="1" x14ac:dyDescent="0.25">
      <c r="E2257" s="43">
        <f>COUNTIF($O$7:O2257,FORMULARIO!$AA$2)</f>
        <v>1</v>
      </c>
      <c r="M2257" s="46"/>
      <c r="P2257" s="16"/>
    </row>
    <row r="2258" spans="5:16" hidden="1" x14ac:dyDescent="0.25">
      <c r="E2258" s="43">
        <f>COUNTIF($O$7:O2258,FORMULARIO!$AA$2)</f>
        <v>1</v>
      </c>
      <c r="M2258" s="46"/>
      <c r="P2258" s="16"/>
    </row>
    <row r="2259" spans="5:16" hidden="1" x14ac:dyDescent="0.25">
      <c r="E2259" s="43">
        <f>COUNTIF($O$7:O2259,FORMULARIO!$AA$2)</f>
        <v>1</v>
      </c>
      <c r="M2259" s="46"/>
      <c r="P2259" s="16"/>
    </row>
    <row r="2260" spans="5:16" hidden="1" x14ac:dyDescent="0.25">
      <c r="E2260" s="43">
        <f>COUNTIF($O$7:O2260,FORMULARIO!$AA$2)</f>
        <v>1</v>
      </c>
      <c r="M2260" s="46"/>
      <c r="P2260" s="16"/>
    </row>
    <row r="2261" spans="5:16" hidden="1" x14ac:dyDescent="0.25">
      <c r="E2261" s="43">
        <f>COUNTIF($O$7:O2261,FORMULARIO!$AA$2)</f>
        <v>1</v>
      </c>
      <c r="M2261" s="46"/>
      <c r="P2261" s="16"/>
    </row>
    <row r="2262" spans="5:16" hidden="1" x14ac:dyDescent="0.25">
      <c r="E2262" s="43">
        <f>COUNTIF($O$7:O2262,FORMULARIO!$AA$2)</f>
        <v>1</v>
      </c>
      <c r="M2262" s="46"/>
      <c r="P2262" s="16"/>
    </row>
    <row r="2263" spans="5:16" hidden="1" x14ac:dyDescent="0.25">
      <c r="E2263" s="43">
        <f>COUNTIF($O$7:O2263,FORMULARIO!$AA$2)</f>
        <v>1</v>
      </c>
      <c r="M2263" s="46"/>
      <c r="P2263" s="16"/>
    </row>
    <row r="2264" spans="5:16" hidden="1" x14ac:dyDescent="0.25">
      <c r="E2264" s="43">
        <f>COUNTIF($O$7:O2264,FORMULARIO!$AA$2)</f>
        <v>1</v>
      </c>
      <c r="M2264" s="46"/>
      <c r="P2264" s="16"/>
    </row>
    <row r="2265" spans="5:16" hidden="1" x14ac:dyDescent="0.25">
      <c r="E2265" s="43">
        <f>COUNTIF($O$7:O2265,FORMULARIO!$AA$2)</f>
        <v>1</v>
      </c>
      <c r="M2265" s="46"/>
      <c r="P2265" s="16"/>
    </row>
    <row r="2266" spans="5:16" hidden="1" x14ac:dyDescent="0.25">
      <c r="E2266" s="43">
        <f>COUNTIF($O$7:O2266,FORMULARIO!$AA$2)</f>
        <v>1</v>
      </c>
      <c r="M2266" s="46"/>
      <c r="P2266" s="16"/>
    </row>
    <row r="2267" spans="5:16" hidden="1" x14ac:dyDescent="0.25">
      <c r="E2267" s="43">
        <f>COUNTIF($O$7:O2267,FORMULARIO!$AA$2)</f>
        <v>1</v>
      </c>
      <c r="M2267" s="46"/>
      <c r="P2267" s="16"/>
    </row>
    <row r="2268" spans="5:16" hidden="1" x14ac:dyDescent="0.25">
      <c r="E2268" s="43">
        <f>COUNTIF($O$7:O2268,FORMULARIO!$AA$2)</f>
        <v>1</v>
      </c>
      <c r="M2268" s="46"/>
      <c r="P2268" s="16"/>
    </row>
    <row r="2269" spans="5:16" hidden="1" x14ac:dyDescent="0.25">
      <c r="E2269" s="43">
        <f>COUNTIF($O$7:O2269,FORMULARIO!$AA$2)</f>
        <v>1</v>
      </c>
      <c r="M2269" s="46"/>
      <c r="P2269" s="16"/>
    </row>
    <row r="2270" spans="5:16" hidden="1" x14ac:dyDescent="0.25">
      <c r="E2270" s="43">
        <f>COUNTIF($O$7:O2270,FORMULARIO!$AA$2)</f>
        <v>1</v>
      </c>
      <c r="M2270" s="46"/>
      <c r="P2270" s="16"/>
    </row>
    <row r="2271" spans="5:16" hidden="1" x14ac:dyDescent="0.25">
      <c r="E2271" s="43">
        <f>COUNTIF($O$7:O2271,FORMULARIO!$AA$2)</f>
        <v>1</v>
      </c>
      <c r="M2271" s="46"/>
      <c r="P2271" s="16"/>
    </row>
    <row r="2272" spans="5:16" hidden="1" x14ac:dyDescent="0.25">
      <c r="E2272" s="43">
        <f>COUNTIF($O$7:O2272,FORMULARIO!$AA$2)</f>
        <v>1</v>
      </c>
      <c r="M2272" s="46"/>
      <c r="P2272" s="16"/>
    </row>
    <row r="2273" spans="5:16" hidden="1" x14ac:dyDescent="0.25">
      <c r="E2273" s="43">
        <f>COUNTIF($O$7:O2273,FORMULARIO!$AA$2)</f>
        <v>1</v>
      </c>
      <c r="M2273" s="46"/>
      <c r="P2273" s="16"/>
    </row>
    <row r="2274" spans="5:16" hidden="1" x14ac:dyDescent="0.25">
      <c r="E2274" s="43">
        <f>COUNTIF($O$7:O2274,FORMULARIO!$AA$2)</f>
        <v>1</v>
      </c>
      <c r="M2274" s="46"/>
      <c r="P2274" s="16"/>
    </row>
    <row r="2275" spans="5:16" hidden="1" x14ac:dyDescent="0.25">
      <c r="E2275" s="43">
        <f>COUNTIF($O$7:O2275,FORMULARIO!$AA$2)</f>
        <v>1</v>
      </c>
      <c r="M2275" s="46"/>
      <c r="P2275" s="16"/>
    </row>
    <row r="2276" spans="5:16" hidden="1" x14ac:dyDescent="0.25">
      <c r="E2276" s="43">
        <f>COUNTIF($O$7:O2276,FORMULARIO!$AA$2)</f>
        <v>1</v>
      </c>
      <c r="M2276" s="46"/>
      <c r="P2276" s="16"/>
    </row>
    <row r="2277" spans="5:16" hidden="1" x14ac:dyDescent="0.25">
      <c r="E2277" s="43">
        <f>COUNTIF($O$7:O2277,FORMULARIO!$AA$2)</f>
        <v>1</v>
      </c>
      <c r="M2277" s="46"/>
      <c r="P2277" s="16"/>
    </row>
    <row r="2278" spans="5:16" hidden="1" x14ac:dyDescent="0.25">
      <c r="E2278" s="43">
        <f>COUNTIF($O$7:O2278,FORMULARIO!$AA$2)</f>
        <v>1</v>
      </c>
      <c r="M2278" s="46"/>
      <c r="P2278" s="16"/>
    </row>
    <row r="2279" spans="5:16" hidden="1" x14ac:dyDescent="0.25">
      <c r="E2279" s="43">
        <f>COUNTIF($O$7:O2279,FORMULARIO!$AA$2)</f>
        <v>1</v>
      </c>
      <c r="M2279" s="46"/>
      <c r="P2279" s="16"/>
    </row>
    <row r="2280" spans="5:16" hidden="1" x14ac:dyDescent="0.25">
      <c r="E2280" s="43">
        <f>COUNTIF($O$7:O2280,FORMULARIO!$AA$2)</f>
        <v>1</v>
      </c>
      <c r="M2280" s="46"/>
      <c r="P2280" s="16"/>
    </row>
    <row r="2281" spans="5:16" hidden="1" x14ac:dyDescent="0.25">
      <c r="E2281" s="43">
        <f>COUNTIF($O$7:O2281,FORMULARIO!$AA$2)</f>
        <v>1</v>
      </c>
      <c r="M2281" s="46"/>
      <c r="P2281" s="16"/>
    </row>
    <row r="2282" spans="5:16" hidden="1" x14ac:dyDescent="0.25">
      <c r="E2282" s="43">
        <f>COUNTIF($O$7:O2282,FORMULARIO!$AA$2)</f>
        <v>1</v>
      </c>
      <c r="M2282" s="46"/>
      <c r="P2282" s="16"/>
    </row>
    <row r="2283" spans="5:16" hidden="1" x14ac:dyDescent="0.25">
      <c r="E2283" s="43">
        <f>COUNTIF($O$7:O2283,FORMULARIO!$AA$2)</f>
        <v>1</v>
      </c>
      <c r="M2283" s="46"/>
      <c r="P2283" s="16"/>
    </row>
    <row r="2284" spans="5:16" hidden="1" x14ac:dyDescent="0.25">
      <c r="E2284" s="43">
        <f>COUNTIF($O$7:O2284,FORMULARIO!$AA$2)</f>
        <v>1</v>
      </c>
      <c r="M2284" s="46"/>
      <c r="P2284" s="16"/>
    </row>
    <row r="2285" spans="5:16" hidden="1" x14ac:dyDescent="0.25">
      <c r="E2285" s="43">
        <f>COUNTIF($O$7:O2285,FORMULARIO!$AA$2)</f>
        <v>1</v>
      </c>
      <c r="M2285" s="46"/>
      <c r="P2285" s="16"/>
    </row>
    <row r="2286" spans="5:16" hidden="1" x14ac:dyDescent="0.25">
      <c r="E2286" s="43">
        <f>COUNTIF($O$7:O2286,FORMULARIO!$AA$2)</f>
        <v>1</v>
      </c>
      <c r="M2286" s="46"/>
      <c r="P2286" s="16"/>
    </row>
    <row r="2287" spans="5:16" hidden="1" x14ac:dyDescent="0.25">
      <c r="E2287" s="43">
        <f>COUNTIF($O$7:O2287,FORMULARIO!$AA$2)</f>
        <v>1</v>
      </c>
      <c r="M2287" s="46"/>
      <c r="P2287" s="16"/>
    </row>
    <row r="2288" spans="5:16" hidden="1" x14ac:dyDescent="0.25">
      <c r="E2288" s="43">
        <f>COUNTIF($O$7:O2288,FORMULARIO!$AA$2)</f>
        <v>1</v>
      </c>
      <c r="M2288" s="46"/>
      <c r="P2288" s="16"/>
    </row>
    <row r="2289" spans="5:16" hidden="1" x14ac:dyDescent="0.25">
      <c r="E2289" s="43">
        <f>COUNTIF($O$7:O2289,FORMULARIO!$AA$2)</f>
        <v>1</v>
      </c>
      <c r="M2289" s="46"/>
      <c r="P2289" s="16"/>
    </row>
    <row r="2290" spans="5:16" hidden="1" x14ac:dyDescent="0.25">
      <c r="E2290" s="43">
        <f>COUNTIF($O$7:O2290,FORMULARIO!$AA$2)</f>
        <v>1</v>
      </c>
      <c r="M2290" s="46"/>
      <c r="P2290" s="16"/>
    </row>
    <row r="2291" spans="5:16" hidden="1" x14ac:dyDescent="0.25">
      <c r="E2291" s="43">
        <f>COUNTIF($O$7:O2291,FORMULARIO!$AA$2)</f>
        <v>1</v>
      </c>
      <c r="M2291" s="46"/>
      <c r="P2291" s="16"/>
    </row>
    <row r="2292" spans="5:16" hidden="1" x14ac:dyDescent="0.25">
      <c r="E2292" s="43">
        <f>COUNTIF($O$7:O2292,FORMULARIO!$AA$2)</f>
        <v>1</v>
      </c>
      <c r="M2292" s="46"/>
      <c r="P2292" s="16"/>
    </row>
    <row r="2293" spans="5:16" hidden="1" x14ac:dyDescent="0.25">
      <c r="E2293" s="43">
        <f>COUNTIF($O$7:O2293,FORMULARIO!$AA$2)</f>
        <v>1</v>
      </c>
      <c r="M2293" s="46"/>
      <c r="P2293" s="16"/>
    </row>
    <row r="2294" spans="5:16" hidden="1" x14ac:dyDescent="0.25">
      <c r="E2294" s="43">
        <f>COUNTIF($O$7:O2294,FORMULARIO!$AA$2)</f>
        <v>1</v>
      </c>
      <c r="M2294" s="46"/>
      <c r="P2294" s="16"/>
    </row>
    <row r="2295" spans="5:16" hidden="1" x14ac:dyDescent="0.25">
      <c r="E2295" s="43">
        <f>COUNTIF($O$7:O2295,FORMULARIO!$AA$2)</f>
        <v>1</v>
      </c>
      <c r="M2295" s="46"/>
      <c r="P2295" s="16"/>
    </row>
    <row r="2296" spans="5:16" hidden="1" x14ac:dyDescent="0.25">
      <c r="E2296" s="43">
        <f>COUNTIF($O$7:O2296,FORMULARIO!$AA$2)</f>
        <v>1</v>
      </c>
      <c r="M2296" s="46"/>
      <c r="P2296" s="16"/>
    </row>
    <row r="2297" spans="5:16" hidden="1" x14ac:dyDescent="0.25">
      <c r="E2297" s="43">
        <f>COUNTIF($O$7:O2297,FORMULARIO!$AA$2)</f>
        <v>1</v>
      </c>
      <c r="M2297" s="46"/>
      <c r="P2297" s="16"/>
    </row>
    <row r="2298" spans="5:16" hidden="1" x14ac:dyDescent="0.25">
      <c r="E2298" s="43">
        <f>COUNTIF($O$7:O2298,FORMULARIO!$AA$2)</f>
        <v>1</v>
      </c>
      <c r="M2298" s="46"/>
      <c r="P2298" s="16"/>
    </row>
    <row r="2299" spans="5:16" hidden="1" x14ac:dyDescent="0.25">
      <c r="E2299" s="43">
        <f>COUNTIF($O$7:O2299,FORMULARIO!$AA$2)</f>
        <v>1</v>
      </c>
      <c r="M2299" s="46"/>
      <c r="P2299" s="16"/>
    </row>
    <row r="2300" spans="5:16" hidden="1" x14ac:dyDescent="0.25">
      <c r="E2300" s="43">
        <f>COUNTIF($O$7:O2300,FORMULARIO!$AA$2)</f>
        <v>1</v>
      </c>
      <c r="M2300" s="46"/>
      <c r="P2300" s="16"/>
    </row>
    <row r="2301" spans="5:16" hidden="1" x14ac:dyDescent="0.25">
      <c r="E2301" s="43">
        <f>COUNTIF($O$7:O2301,FORMULARIO!$AA$2)</f>
        <v>1</v>
      </c>
      <c r="M2301" s="46"/>
      <c r="P2301" s="16"/>
    </row>
    <row r="2302" spans="5:16" hidden="1" x14ac:dyDescent="0.25">
      <c r="E2302" s="43">
        <f>COUNTIF($O$7:O2302,FORMULARIO!$AA$2)</f>
        <v>1</v>
      </c>
      <c r="M2302" s="46"/>
      <c r="P2302" s="16"/>
    </row>
    <row r="2303" spans="5:16" hidden="1" x14ac:dyDescent="0.25">
      <c r="E2303" s="43">
        <f>COUNTIF($O$7:O2303,FORMULARIO!$AA$2)</f>
        <v>1</v>
      </c>
      <c r="M2303" s="46"/>
      <c r="P2303" s="16"/>
    </row>
    <row r="2304" spans="5:16" hidden="1" x14ac:dyDescent="0.25">
      <c r="E2304" s="43">
        <f>COUNTIF($O$7:O2304,FORMULARIO!$AA$2)</f>
        <v>1</v>
      </c>
      <c r="M2304" s="46"/>
      <c r="P2304" s="16"/>
    </row>
    <row r="2305" spans="5:16" hidden="1" x14ac:dyDescent="0.25">
      <c r="E2305" s="43">
        <f>COUNTIF($O$7:O2305,FORMULARIO!$AA$2)</f>
        <v>1</v>
      </c>
      <c r="M2305" s="46"/>
      <c r="P2305" s="16"/>
    </row>
    <row r="2306" spans="5:16" hidden="1" x14ac:dyDescent="0.25">
      <c r="E2306" s="43">
        <f>COUNTIF($O$7:O2306,FORMULARIO!$AA$2)</f>
        <v>1</v>
      </c>
      <c r="M2306" s="46"/>
      <c r="P2306" s="16"/>
    </row>
    <row r="2307" spans="5:16" hidden="1" x14ac:dyDescent="0.25">
      <c r="E2307" s="43">
        <f>COUNTIF($O$7:O2307,FORMULARIO!$AA$2)</f>
        <v>1</v>
      </c>
      <c r="M2307" s="46"/>
      <c r="P2307" s="16"/>
    </row>
    <row r="2308" spans="5:16" hidden="1" x14ac:dyDescent="0.25">
      <c r="E2308" s="43">
        <f>COUNTIF($O$7:O2308,FORMULARIO!$AA$2)</f>
        <v>1</v>
      </c>
      <c r="M2308" s="46"/>
      <c r="P2308" s="16"/>
    </row>
    <row r="2309" spans="5:16" hidden="1" x14ac:dyDescent="0.25">
      <c r="E2309" s="43">
        <f>COUNTIF($O$7:O2309,FORMULARIO!$AA$2)</f>
        <v>1</v>
      </c>
      <c r="M2309" s="46"/>
      <c r="P2309" s="16"/>
    </row>
    <row r="2310" spans="5:16" hidden="1" x14ac:dyDescent="0.25">
      <c r="E2310" s="43">
        <f>COUNTIF($O$7:O2310,FORMULARIO!$AA$2)</f>
        <v>1</v>
      </c>
      <c r="M2310" s="46"/>
      <c r="P2310" s="16"/>
    </row>
    <row r="2311" spans="5:16" hidden="1" x14ac:dyDescent="0.25">
      <c r="E2311" s="43">
        <f>COUNTIF($O$7:O2311,FORMULARIO!$AA$2)</f>
        <v>1</v>
      </c>
      <c r="M2311" s="46"/>
      <c r="P2311" s="16"/>
    </row>
    <row r="2312" spans="5:16" hidden="1" x14ac:dyDescent="0.25">
      <c r="E2312" s="43">
        <f>COUNTIF($O$7:O2312,FORMULARIO!$AA$2)</f>
        <v>1</v>
      </c>
      <c r="M2312" s="46"/>
      <c r="P2312" s="16"/>
    </row>
    <row r="2313" spans="5:16" hidden="1" x14ac:dyDescent="0.25">
      <c r="E2313" s="43">
        <f>COUNTIF($O$7:O2313,FORMULARIO!$AA$2)</f>
        <v>1</v>
      </c>
      <c r="M2313" s="46"/>
      <c r="P2313" s="16"/>
    </row>
    <row r="2314" spans="5:16" hidden="1" x14ac:dyDescent="0.25">
      <c r="E2314" s="43">
        <f>COUNTIF($O$7:O2314,FORMULARIO!$AA$2)</f>
        <v>1</v>
      </c>
      <c r="M2314" s="46"/>
      <c r="P2314" s="16"/>
    </row>
    <row r="2315" spans="5:16" hidden="1" x14ac:dyDescent="0.25">
      <c r="E2315" s="43">
        <f>COUNTIF($O$7:O2315,FORMULARIO!$AA$2)</f>
        <v>1</v>
      </c>
      <c r="M2315" s="46"/>
      <c r="P2315" s="16"/>
    </row>
    <row r="2316" spans="5:16" hidden="1" x14ac:dyDescent="0.25">
      <c r="E2316" s="43">
        <f>COUNTIF($O$7:O2316,FORMULARIO!$AA$2)</f>
        <v>1</v>
      </c>
      <c r="M2316" s="46"/>
      <c r="P2316" s="16"/>
    </row>
    <row r="2317" spans="5:16" hidden="1" x14ac:dyDescent="0.25">
      <c r="E2317" s="43">
        <f>COUNTIF($O$7:O2317,FORMULARIO!$AA$2)</f>
        <v>1</v>
      </c>
      <c r="M2317" s="46"/>
      <c r="P2317" s="16"/>
    </row>
    <row r="2318" spans="5:16" hidden="1" x14ac:dyDescent="0.25">
      <c r="E2318" s="43">
        <f>COUNTIF($O$7:O2318,FORMULARIO!$AA$2)</f>
        <v>1</v>
      </c>
      <c r="M2318" s="46"/>
      <c r="P2318" s="16"/>
    </row>
    <row r="2319" spans="5:16" hidden="1" x14ac:dyDescent="0.25">
      <c r="E2319" s="43">
        <f>COUNTIF($O$7:O2319,FORMULARIO!$AA$2)</f>
        <v>1</v>
      </c>
      <c r="M2319" s="46"/>
      <c r="P2319" s="16"/>
    </row>
    <row r="2320" spans="5:16" hidden="1" x14ac:dyDescent="0.25">
      <c r="E2320" s="43">
        <f>COUNTIF($O$7:O2320,FORMULARIO!$AA$2)</f>
        <v>1</v>
      </c>
      <c r="M2320" s="46"/>
      <c r="P2320" s="16"/>
    </row>
    <row r="2321" spans="5:16" hidden="1" x14ac:dyDescent="0.25">
      <c r="E2321" s="43">
        <f>COUNTIF($O$7:O2321,FORMULARIO!$AA$2)</f>
        <v>1</v>
      </c>
      <c r="M2321" s="46"/>
      <c r="P2321" s="16"/>
    </row>
    <row r="2322" spans="5:16" hidden="1" x14ac:dyDescent="0.25">
      <c r="E2322" s="43">
        <f>COUNTIF($O$7:O2322,FORMULARIO!$AA$2)</f>
        <v>1</v>
      </c>
      <c r="M2322" s="46"/>
      <c r="P2322" s="16"/>
    </row>
    <row r="2323" spans="5:16" hidden="1" x14ac:dyDescent="0.25">
      <c r="E2323" s="43">
        <f>COUNTIF($O$7:O2323,FORMULARIO!$AA$2)</f>
        <v>1</v>
      </c>
      <c r="M2323" s="46"/>
      <c r="P2323" s="16"/>
    </row>
    <row r="2324" spans="5:16" hidden="1" x14ac:dyDescent="0.25">
      <c r="E2324" s="43">
        <f>COUNTIF($O$7:O2324,FORMULARIO!$AA$2)</f>
        <v>1</v>
      </c>
      <c r="M2324" s="46"/>
      <c r="P2324" s="16"/>
    </row>
    <row r="2325" spans="5:16" hidden="1" x14ac:dyDescent="0.25">
      <c r="E2325" s="43">
        <f>COUNTIF($O$7:O2325,FORMULARIO!$AA$2)</f>
        <v>1</v>
      </c>
      <c r="M2325" s="46"/>
      <c r="P2325" s="16"/>
    </row>
    <row r="2326" spans="5:16" hidden="1" x14ac:dyDescent="0.25">
      <c r="E2326" s="43">
        <f>COUNTIF($O$7:O2326,FORMULARIO!$AA$2)</f>
        <v>1</v>
      </c>
      <c r="M2326" s="46"/>
      <c r="P2326" s="16"/>
    </row>
    <row r="2327" spans="5:16" hidden="1" x14ac:dyDescent="0.25">
      <c r="E2327" s="43">
        <f>COUNTIF($O$7:O2327,FORMULARIO!$AA$2)</f>
        <v>1</v>
      </c>
      <c r="M2327" s="46"/>
      <c r="P2327" s="16"/>
    </row>
    <row r="2328" spans="5:16" hidden="1" x14ac:dyDescent="0.25">
      <c r="E2328" s="43">
        <f>COUNTIF($O$7:O2328,FORMULARIO!$AA$2)</f>
        <v>1</v>
      </c>
      <c r="M2328" s="46"/>
      <c r="P2328" s="16"/>
    </row>
    <row r="2329" spans="5:16" hidden="1" x14ac:dyDescent="0.25">
      <c r="E2329" s="43">
        <f>COUNTIF($O$7:O2329,FORMULARIO!$AA$2)</f>
        <v>1</v>
      </c>
      <c r="M2329" s="46"/>
      <c r="P2329" s="16"/>
    </row>
    <row r="2330" spans="5:16" hidden="1" x14ac:dyDescent="0.25">
      <c r="E2330" s="43">
        <f>COUNTIF($O$7:O2330,FORMULARIO!$AA$2)</f>
        <v>1</v>
      </c>
      <c r="M2330" s="46"/>
      <c r="P2330" s="16"/>
    </row>
    <row r="2331" spans="5:16" hidden="1" x14ac:dyDescent="0.25">
      <c r="E2331" s="43">
        <f>COUNTIF($O$7:O2331,FORMULARIO!$AA$2)</f>
        <v>1</v>
      </c>
      <c r="M2331" s="46"/>
      <c r="P2331" s="16"/>
    </row>
    <row r="2332" spans="5:16" hidden="1" x14ac:dyDescent="0.25">
      <c r="E2332" s="43">
        <f>COUNTIF($O$7:O2332,FORMULARIO!$AA$2)</f>
        <v>1</v>
      </c>
      <c r="M2332" s="46"/>
      <c r="P2332" s="16"/>
    </row>
    <row r="2333" spans="5:16" hidden="1" x14ac:dyDescent="0.25">
      <c r="E2333" s="43">
        <f>COUNTIF($O$7:O2333,FORMULARIO!$AA$2)</f>
        <v>1</v>
      </c>
      <c r="M2333" s="46"/>
      <c r="P2333" s="16"/>
    </row>
    <row r="2334" spans="5:16" hidden="1" x14ac:dyDescent="0.25">
      <c r="E2334" s="43">
        <f>COUNTIF($O$7:O2334,FORMULARIO!$AA$2)</f>
        <v>1</v>
      </c>
      <c r="M2334" s="46"/>
      <c r="P2334" s="16"/>
    </row>
    <row r="2335" spans="5:16" hidden="1" x14ac:dyDescent="0.25">
      <c r="E2335" s="43">
        <f>COUNTIF($O$7:O2335,FORMULARIO!$AA$2)</f>
        <v>1</v>
      </c>
      <c r="M2335" s="46"/>
      <c r="P2335" s="16"/>
    </row>
    <row r="2336" spans="5:16" hidden="1" x14ac:dyDescent="0.25">
      <c r="E2336" s="43">
        <f>COUNTIF($O$7:O2336,FORMULARIO!$AA$2)</f>
        <v>1</v>
      </c>
      <c r="M2336" s="46"/>
      <c r="P2336" s="16"/>
    </row>
    <row r="2337" spans="5:16" hidden="1" x14ac:dyDescent="0.25">
      <c r="E2337" s="43">
        <f>COUNTIF($O$7:O2337,FORMULARIO!$AA$2)</f>
        <v>1</v>
      </c>
      <c r="M2337" s="46"/>
      <c r="P2337" s="16"/>
    </row>
    <row r="2338" spans="5:16" hidden="1" x14ac:dyDescent="0.25">
      <c r="E2338" s="43">
        <f>COUNTIF($O$7:O2338,FORMULARIO!$AA$2)</f>
        <v>1</v>
      </c>
      <c r="M2338" s="46"/>
      <c r="P2338" s="16"/>
    </row>
    <row r="2339" spans="5:16" hidden="1" x14ac:dyDescent="0.25">
      <c r="E2339" s="43">
        <f>COUNTIF($O$7:O2339,FORMULARIO!$AA$2)</f>
        <v>1</v>
      </c>
      <c r="M2339" s="46"/>
      <c r="P2339" s="16"/>
    </row>
    <row r="2340" spans="5:16" hidden="1" x14ac:dyDescent="0.25">
      <c r="E2340" s="43">
        <f>COUNTIF($O$7:O2340,FORMULARIO!$AA$2)</f>
        <v>1</v>
      </c>
      <c r="M2340" s="46"/>
      <c r="P2340" s="16"/>
    </row>
    <row r="2341" spans="5:16" hidden="1" x14ac:dyDescent="0.25">
      <c r="E2341" s="43">
        <f>COUNTIF($O$7:O2341,FORMULARIO!$AA$2)</f>
        <v>1</v>
      </c>
      <c r="M2341" s="46"/>
      <c r="P2341" s="16"/>
    </row>
    <row r="2342" spans="5:16" hidden="1" x14ac:dyDescent="0.25">
      <c r="E2342" s="43">
        <f>COUNTIF($O$7:O2342,FORMULARIO!$AA$2)</f>
        <v>1</v>
      </c>
      <c r="M2342" s="46"/>
      <c r="P2342" s="16"/>
    </row>
    <row r="2343" spans="5:16" hidden="1" x14ac:dyDescent="0.25">
      <c r="E2343" s="43">
        <f>COUNTIF($O$7:O2343,FORMULARIO!$AA$2)</f>
        <v>1</v>
      </c>
      <c r="M2343" s="46"/>
      <c r="P2343" s="16"/>
    </row>
    <row r="2344" spans="5:16" hidden="1" x14ac:dyDescent="0.25">
      <c r="E2344" s="43">
        <f>COUNTIF($O$7:O2344,FORMULARIO!$AA$2)</f>
        <v>1</v>
      </c>
      <c r="M2344" s="46"/>
      <c r="P2344" s="16"/>
    </row>
    <row r="2345" spans="5:16" hidden="1" x14ac:dyDescent="0.25">
      <c r="E2345" s="43">
        <f>COUNTIF($O$7:O2345,FORMULARIO!$AA$2)</f>
        <v>1</v>
      </c>
      <c r="M2345" s="46"/>
      <c r="P2345" s="16"/>
    </row>
    <row r="2346" spans="5:16" hidden="1" x14ac:dyDescent="0.25">
      <c r="E2346" s="43">
        <f>COUNTIF($O$7:O2346,FORMULARIO!$AA$2)</f>
        <v>1</v>
      </c>
      <c r="M2346" s="46"/>
      <c r="P2346" s="16"/>
    </row>
    <row r="2347" spans="5:16" hidden="1" x14ac:dyDescent="0.25">
      <c r="E2347" s="43">
        <f>COUNTIF($O$7:O2347,FORMULARIO!$AA$2)</f>
        <v>1</v>
      </c>
      <c r="M2347" s="46"/>
      <c r="P2347" s="16"/>
    </row>
    <row r="2348" spans="5:16" hidden="1" x14ac:dyDescent="0.25">
      <c r="E2348" s="43">
        <f>COUNTIF($O$7:O2348,FORMULARIO!$AA$2)</f>
        <v>1</v>
      </c>
      <c r="M2348" s="46"/>
      <c r="P2348" s="16"/>
    </row>
    <row r="2349" spans="5:16" hidden="1" x14ac:dyDescent="0.25">
      <c r="E2349" s="43">
        <f>COUNTIF($O$7:O2349,FORMULARIO!$AA$2)</f>
        <v>1</v>
      </c>
      <c r="M2349" s="46"/>
      <c r="P2349" s="16"/>
    </row>
    <row r="2350" spans="5:16" hidden="1" x14ac:dyDescent="0.25">
      <c r="E2350" s="43">
        <f>COUNTIF($O$7:O2350,FORMULARIO!$AA$2)</f>
        <v>1</v>
      </c>
      <c r="M2350" s="46"/>
      <c r="P2350" s="16"/>
    </row>
    <row r="2351" spans="5:16" hidden="1" x14ac:dyDescent="0.25">
      <c r="E2351" s="43">
        <f>COUNTIF($O$7:O2351,FORMULARIO!$AA$2)</f>
        <v>1</v>
      </c>
      <c r="M2351" s="46"/>
      <c r="P2351" s="16"/>
    </row>
    <row r="2352" spans="5:16" hidden="1" x14ac:dyDescent="0.25">
      <c r="E2352" s="43">
        <f>COUNTIF($O$7:O2352,FORMULARIO!$AA$2)</f>
        <v>1</v>
      </c>
      <c r="M2352" s="46"/>
      <c r="P2352" s="16"/>
    </row>
    <row r="2353" spans="5:16" hidden="1" x14ac:dyDescent="0.25">
      <c r="E2353" s="43">
        <f>COUNTIF($O$7:O2353,FORMULARIO!$AA$2)</f>
        <v>1</v>
      </c>
      <c r="M2353" s="46"/>
      <c r="P2353" s="16"/>
    </row>
    <row r="2354" spans="5:16" hidden="1" x14ac:dyDescent="0.25">
      <c r="E2354" s="43">
        <f>COUNTIF($O$7:O2354,FORMULARIO!$AA$2)</f>
        <v>1</v>
      </c>
      <c r="M2354" s="46"/>
      <c r="P2354" s="16"/>
    </row>
    <row r="2355" spans="5:16" hidden="1" x14ac:dyDescent="0.25">
      <c r="E2355" s="43">
        <f>COUNTIF($O$7:O2355,FORMULARIO!$AA$2)</f>
        <v>1</v>
      </c>
      <c r="M2355" s="46"/>
      <c r="P2355" s="16"/>
    </row>
    <row r="2356" spans="5:16" hidden="1" x14ac:dyDescent="0.25">
      <c r="E2356" s="43">
        <f>COUNTIF($O$7:O2356,FORMULARIO!$AA$2)</f>
        <v>1</v>
      </c>
      <c r="M2356" s="46"/>
      <c r="P2356" s="16"/>
    </row>
    <row r="2357" spans="5:16" hidden="1" x14ac:dyDescent="0.25">
      <c r="E2357" s="43">
        <f>COUNTIF($O$7:O2357,FORMULARIO!$AA$2)</f>
        <v>1</v>
      </c>
      <c r="M2357" s="46"/>
      <c r="P2357" s="16"/>
    </row>
    <row r="2358" spans="5:16" hidden="1" x14ac:dyDescent="0.25">
      <c r="E2358" s="43">
        <f>COUNTIF($O$7:O2358,FORMULARIO!$AA$2)</f>
        <v>1</v>
      </c>
      <c r="M2358" s="46"/>
      <c r="P2358" s="16"/>
    </row>
    <row r="2359" spans="5:16" hidden="1" x14ac:dyDescent="0.25">
      <c r="E2359" s="43">
        <f>COUNTIF($O$7:O2359,FORMULARIO!$AA$2)</f>
        <v>1</v>
      </c>
      <c r="M2359" s="46"/>
      <c r="P2359" s="16"/>
    </row>
    <row r="2360" spans="5:16" hidden="1" x14ac:dyDescent="0.25">
      <c r="E2360" s="43">
        <f>COUNTIF($O$7:O2360,FORMULARIO!$AA$2)</f>
        <v>1</v>
      </c>
      <c r="M2360" s="46"/>
      <c r="P2360" s="16"/>
    </row>
    <row r="2361" spans="5:16" hidden="1" x14ac:dyDescent="0.25">
      <c r="E2361" s="43">
        <f>COUNTIF($O$7:O2361,FORMULARIO!$AA$2)</f>
        <v>1</v>
      </c>
      <c r="M2361" s="46"/>
      <c r="P2361" s="16"/>
    </row>
    <row r="2362" spans="5:16" hidden="1" x14ac:dyDescent="0.25">
      <c r="E2362" s="43">
        <f>COUNTIF($O$7:O2362,FORMULARIO!$AA$2)</f>
        <v>1</v>
      </c>
      <c r="M2362" s="46"/>
      <c r="P2362" s="16"/>
    </row>
    <row r="2363" spans="5:16" hidden="1" x14ac:dyDescent="0.25">
      <c r="E2363" s="43">
        <f>COUNTIF($O$7:O2363,FORMULARIO!$AA$2)</f>
        <v>1</v>
      </c>
      <c r="M2363" s="46"/>
      <c r="P2363" s="16"/>
    </row>
    <row r="2364" spans="5:16" hidden="1" x14ac:dyDescent="0.25">
      <c r="E2364" s="43">
        <f>COUNTIF($O$7:O2364,FORMULARIO!$AA$2)</f>
        <v>1</v>
      </c>
      <c r="M2364" s="46"/>
      <c r="P2364" s="16"/>
    </row>
    <row r="2365" spans="5:16" hidden="1" x14ac:dyDescent="0.25">
      <c r="E2365" s="43">
        <f>COUNTIF($O$7:O2365,FORMULARIO!$AA$2)</f>
        <v>1</v>
      </c>
      <c r="M2365" s="46"/>
      <c r="P2365" s="16"/>
    </row>
    <row r="2366" spans="5:16" hidden="1" x14ac:dyDescent="0.25">
      <c r="E2366" s="43">
        <f>COUNTIF($O$7:O2366,FORMULARIO!$AA$2)</f>
        <v>1</v>
      </c>
      <c r="M2366" s="46"/>
      <c r="P2366" s="16"/>
    </row>
    <row r="2367" spans="5:16" hidden="1" x14ac:dyDescent="0.25">
      <c r="E2367" s="43">
        <f>COUNTIF($O$7:O2367,FORMULARIO!$AA$2)</f>
        <v>1</v>
      </c>
      <c r="M2367" s="46"/>
      <c r="P2367" s="16"/>
    </row>
    <row r="2368" spans="5:16" hidden="1" x14ac:dyDescent="0.25">
      <c r="E2368" s="43">
        <f>COUNTIF($O$7:O2368,FORMULARIO!$AA$2)</f>
        <v>1</v>
      </c>
      <c r="M2368" s="46"/>
      <c r="P2368" s="16"/>
    </row>
    <row r="2369" spans="5:16" hidden="1" x14ac:dyDescent="0.25">
      <c r="E2369" s="43">
        <f>COUNTIF($O$7:O2369,FORMULARIO!$AA$2)</f>
        <v>1</v>
      </c>
      <c r="M2369" s="46"/>
      <c r="P2369" s="16"/>
    </row>
    <row r="2370" spans="5:16" hidden="1" x14ac:dyDescent="0.25">
      <c r="E2370" s="43">
        <f>COUNTIF($O$7:O2370,FORMULARIO!$AA$2)</f>
        <v>1</v>
      </c>
      <c r="M2370" s="46"/>
      <c r="P2370" s="16"/>
    </row>
    <row r="2371" spans="5:16" hidden="1" x14ac:dyDescent="0.25">
      <c r="E2371" s="43">
        <f>COUNTIF($O$7:O2371,FORMULARIO!$AA$2)</f>
        <v>1</v>
      </c>
      <c r="M2371" s="46"/>
      <c r="P2371" s="16"/>
    </row>
    <row r="2372" spans="5:16" hidden="1" x14ac:dyDescent="0.25">
      <c r="E2372" s="43">
        <f>COUNTIF($O$7:O2372,FORMULARIO!$AA$2)</f>
        <v>1</v>
      </c>
      <c r="M2372" s="46"/>
      <c r="P2372" s="16"/>
    </row>
    <row r="2373" spans="5:16" hidden="1" x14ac:dyDescent="0.25">
      <c r="E2373" s="43">
        <f>COUNTIF($O$7:O2373,FORMULARIO!$AA$2)</f>
        <v>1</v>
      </c>
      <c r="M2373" s="46"/>
      <c r="P2373" s="16"/>
    </row>
    <row r="2374" spans="5:16" hidden="1" x14ac:dyDescent="0.25">
      <c r="E2374" s="43">
        <f>COUNTIF($O$7:O2374,FORMULARIO!$AA$2)</f>
        <v>1</v>
      </c>
      <c r="M2374" s="46"/>
      <c r="P2374" s="16"/>
    </row>
    <row r="2375" spans="5:16" hidden="1" x14ac:dyDescent="0.25">
      <c r="E2375" s="43">
        <f>COUNTIF($O$7:O2375,FORMULARIO!$AA$2)</f>
        <v>1</v>
      </c>
      <c r="M2375" s="46"/>
      <c r="P2375" s="16"/>
    </row>
    <row r="2376" spans="5:16" hidden="1" x14ac:dyDescent="0.25">
      <c r="E2376" s="43">
        <f>COUNTIF($O$7:O2376,FORMULARIO!$AA$2)</f>
        <v>1</v>
      </c>
      <c r="M2376" s="46"/>
      <c r="P2376" s="16"/>
    </row>
    <row r="2377" spans="5:16" hidden="1" x14ac:dyDescent="0.25">
      <c r="E2377" s="43">
        <f>COUNTIF($O$7:O2377,FORMULARIO!$AA$2)</f>
        <v>1</v>
      </c>
      <c r="M2377" s="46"/>
      <c r="P2377" s="16"/>
    </row>
    <row r="2378" spans="5:16" hidden="1" x14ac:dyDescent="0.25">
      <c r="E2378" s="43">
        <f>COUNTIF($O$7:O2378,FORMULARIO!$AA$2)</f>
        <v>1</v>
      </c>
      <c r="M2378" s="46"/>
      <c r="P2378" s="16"/>
    </row>
    <row r="2379" spans="5:16" hidden="1" x14ac:dyDescent="0.25">
      <c r="E2379" s="43">
        <f>COUNTIF($O$7:O2379,FORMULARIO!$AA$2)</f>
        <v>1</v>
      </c>
      <c r="M2379" s="46"/>
      <c r="P2379" s="16"/>
    </row>
    <row r="2380" spans="5:16" hidden="1" x14ac:dyDescent="0.25">
      <c r="E2380" s="43">
        <f>COUNTIF($O$7:O2380,FORMULARIO!$AA$2)</f>
        <v>1</v>
      </c>
      <c r="M2380" s="46"/>
      <c r="P2380" s="16"/>
    </row>
    <row r="2381" spans="5:16" hidden="1" x14ac:dyDescent="0.25">
      <c r="E2381" s="43">
        <f>COUNTIF($O$7:O2381,FORMULARIO!$AA$2)</f>
        <v>1</v>
      </c>
      <c r="M2381" s="46"/>
      <c r="P2381" s="16"/>
    </row>
    <row r="2382" spans="5:16" hidden="1" x14ac:dyDescent="0.25">
      <c r="E2382" s="43">
        <f>COUNTIF($O$7:O2382,FORMULARIO!$AA$2)</f>
        <v>1</v>
      </c>
      <c r="M2382" s="46"/>
      <c r="P2382" s="16"/>
    </row>
    <row r="2383" spans="5:16" hidden="1" x14ac:dyDescent="0.25">
      <c r="E2383" s="43">
        <f>COUNTIF($O$7:O2383,FORMULARIO!$AA$2)</f>
        <v>1</v>
      </c>
      <c r="M2383" s="46"/>
      <c r="P2383" s="16"/>
    </row>
    <row r="2384" spans="5:16" hidden="1" x14ac:dyDescent="0.25">
      <c r="E2384" s="43">
        <f>COUNTIF($O$7:O2384,FORMULARIO!$AA$2)</f>
        <v>1</v>
      </c>
      <c r="M2384" s="46"/>
      <c r="P2384" s="16"/>
    </row>
    <row r="2385" spans="5:16" hidden="1" x14ac:dyDescent="0.25">
      <c r="E2385" s="43">
        <f>COUNTIF($O$7:O2385,FORMULARIO!$AA$2)</f>
        <v>1</v>
      </c>
      <c r="M2385" s="46"/>
      <c r="P2385" s="16"/>
    </row>
    <row r="2386" spans="5:16" hidden="1" x14ac:dyDescent="0.25">
      <c r="E2386" s="43">
        <f>COUNTIF($O$7:O2386,FORMULARIO!$AA$2)</f>
        <v>1</v>
      </c>
      <c r="M2386" s="46"/>
      <c r="P2386" s="16"/>
    </row>
    <row r="2387" spans="5:16" hidden="1" x14ac:dyDescent="0.25">
      <c r="E2387" s="43">
        <f>COUNTIF($O$7:O2387,FORMULARIO!$AA$2)</f>
        <v>1</v>
      </c>
      <c r="M2387" s="46"/>
      <c r="P2387" s="16"/>
    </row>
    <row r="2388" spans="5:16" hidden="1" x14ac:dyDescent="0.25">
      <c r="E2388" s="43">
        <f>COUNTIF($O$7:O2388,FORMULARIO!$AA$2)</f>
        <v>1</v>
      </c>
      <c r="M2388" s="46"/>
      <c r="P2388" s="16"/>
    </row>
    <row r="2389" spans="5:16" hidden="1" x14ac:dyDescent="0.25">
      <c r="E2389" s="43">
        <f>COUNTIF($O$7:O2389,FORMULARIO!$AA$2)</f>
        <v>1</v>
      </c>
      <c r="M2389" s="46"/>
      <c r="P2389" s="16"/>
    </row>
    <row r="2390" spans="5:16" hidden="1" x14ac:dyDescent="0.25">
      <c r="E2390" s="43">
        <f>COUNTIF($O$7:O2390,FORMULARIO!$AA$2)</f>
        <v>1</v>
      </c>
      <c r="M2390" s="46"/>
      <c r="P2390" s="16"/>
    </row>
    <row r="2391" spans="5:16" hidden="1" x14ac:dyDescent="0.25">
      <c r="E2391" s="43">
        <f>COUNTIF($O$7:O2391,FORMULARIO!$AA$2)</f>
        <v>1</v>
      </c>
      <c r="M2391" s="46"/>
      <c r="P2391" s="16"/>
    </row>
    <row r="2392" spans="5:16" hidden="1" x14ac:dyDescent="0.25">
      <c r="E2392" s="43">
        <f>COUNTIF($O$7:O2392,FORMULARIO!$AA$2)</f>
        <v>1</v>
      </c>
      <c r="M2392" s="46"/>
      <c r="P2392" s="16"/>
    </row>
    <row r="2393" spans="5:16" hidden="1" x14ac:dyDescent="0.25">
      <c r="E2393" s="43">
        <f>COUNTIF($O$7:O2393,FORMULARIO!$AA$2)</f>
        <v>1</v>
      </c>
      <c r="M2393" s="46"/>
      <c r="P2393" s="16"/>
    </row>
    <row r="2394" spans="5:16" hidden="1" x14ac:dyDescent="0.25">
      <c r="E2394" s="43">
        <f>COUNTIF($O$7:O2394,FORMULARIO!$AA$2)</f>
        <v>1</v>
      </c>
      <c r="M2394" s="46"/>
      <c r="P2394" s="16"/>
    </row>
    <row r="2395" spans="5:16" hidden="1" x14ac:dyDescent="0.25">
      <c r="E2395" s="43">
        <f>COUNTIF($O$7:O2395,FORMULARIO!$AA$2)</f>
        <v>1</v>
      </c>
      <c r="M2395" s="46"/>
      <c r="P2395" s="16"/>
    </row>
    <row r="2396" spans="5:16" hidden="1" x14ac:dyDescent="0.25">
      <c r="E2396" s="43">
        <f>COUNTIF($O$7:O2396,FORMULARIO!$AA$2)</f>
        <v>1</v>
      </c>
      <c r="M2396" s="46"/>
      <c r="P2396" s="16"/>
    </row>
    <row r="2397" spans="5:16" hidden="1" x14ac:dyDescent="0.25">
      <c r="E2397" s="43">
        <f>COUNTIF($O$7:O2397,FORMULARIO!$AA$2)</f>
        <v>1</v>
      </c>
      <c r="M2397" s="46"/>
      <c r="P2397" s="16"/>
    </row>
    <row r="2398" spans="5:16" hidden="1" x14ac:dyDescent="0.25">
      <c r="E2398" s="43">
        <f>COUNTIF($O$7:O2398,FORMULARIO!$AA$2)</f>
        <v>1</v>
      </c>
      <c r="M2398" s="46"/>
      <c r="P2398" s="16"/>
    </row>
    <row r="2399" spans="5:16" hidden="1" x14ac:dyDescent="0.25">
      <c r="E2399" s="43">
        <f>COUNTIF($O$7:O2399,FORMULARIO!$AA$2)</f>
        <v>1</v>
      </c>
      <c r="M2399" s="46"/>
      <c r="P2399" s="16"/>
    </row>
    <row r="2400" spans="5:16" hidden="1" x14ac:dyDescent="0.25">
      <c r="E2400" s="43">
        <f>COUNTIF($O$7:O2400,FORMULARIO!$AA$2)</f>
        <v>1</v>
      </c>
      <c r="M2400" s="46"/>
      <c r="P2400" s="16"/>
    </row>
    <row r="2401" spans="5:16" hidden="1" x14ac:dyDescent="0.25">
      <c r="E2401" s="43">
        <f>COUNTIF($O$7:O2401,FORMULARIO!$AA$2)</f>
        <v>1</v>
      </c>
      <c r="M2401" s="46"/>
      <c r="P2401" s="16"/>
    </row>
    <row r="2402" spans="5:16" hidden="1" x14ac:dyDescent="0.25">
      <c r="E2402" s="43">
        <f>COUNTIF($O$7:O2402,FORMULARIO!$AA$2)</f>
        <v>1</v>
      </c>
      <c r="M2402" s="46"/>
      <c r="P2402" s="16"/>
    </row>
    <row r="2403" spans="5:16" hidden="1" x14ac:dyDescent="0.25">
      <c r="E2403" s="43">
        <f>COUNTIF($O$7:O2403,FORMULARIO!$AA$2)</f>
        <v>1</v>
      </c>
      <c r="M2403" s="46"/>
      <c r="P2403" s="16"/>
    </row>
    <row r="2404" spans="5:16" hidden="1" x14ac:dyDescent="0.25">
      <c r="E2404" s="43">
        <f>COUNTIF($O$7:O2404,FORMULARIO!$AA$2)</f>
        <v>1</v>
      </c>
      <c r="M2404" s="46"/>
      <c r="P2404" s="16"/>
    </row>
    <row r="2405" spans="5:16" hidden="1" x14ac:dyDescent="0.25">
      <c r="E2405" s="43">
        <f>COUNTIF($O$7:O2405,FORMULARIO!$AA$2)</f>
        <v>1</v>
      </c>
      <c r="M2405" s="46"/>
      <c r="P2405" s="16"/>
    </row>
    <row r="2406" spans="5:16" hidden="1" x14ac:dyDescent="0.25">
      <c r="E2406" s="43">
        <f>COUNTIF($O$7:O2406,FORMULARIO!$AA$2)</f>
        <v>1</v>
      </c>
      <c r="M2406" s="46"/>
      <c r="P2406" s="16"/>
    </row>
    <row r="2407" spans="5:16" hidden="1" x14ac:dyDescent="0.25">
      <c r="E2407" s="43">
        <f>COUNTIF($O$7:O2407,FORMULARIO!$AA$2)</f>
        <v>1</v>
      </c>
      <c r="M2407" s="46"/>
      <c r="P2407" s="16"/>
    </row>
    <row r="2408" spans="5:16" hidden="1" x14ac:dyDescent="0.25">
      <c r="E2408" s="43">
        <f>COUNTIF($O$7:O2408,FORMULARIO!$AA$2)</f>
        <v>1</v>
      </c>
      <c r="M2408" s="46"/>
      <c r="P2408" s="16"/>
    </row>
    <row r="2409" spans="5:16" hidden="1" x14ac:dyDescent="0.25">
      <c r="E2409" s="43">
        <f>COUNTIF($O$7:O2409,FORMULARIO!$AA$2)</f>
        <v>1</v>
      </c>
      <c r="M2409" s="46"/>
      <c r="P2409" s="16"/>
    </row>
    <row r="2410" spans="5:16" hidden="1" x14ac:dyDescent="0.25">
      <c r="E2410" s="43">
        <f>COUNTIF($O$7:O2410,FORMULARIO!$AA$2)</f>
        <v>1</v>
      </c>
      <c r="M2410" s="46"/>
      <c r="P2410" s="16"/>
    </row>
    <row r="2411" spans="5:16" hidden="1" x14ac:dyDescent="0.25">
      <c r="E2411" s="43">
        <f>COUNTIF($O$7:O2411,FORMULARIO!$AA$2)</f>
        <v>1</v>
      </c>
      <c r="M2411" s="46"/>
      <c r="P2411" s="16"/>
    </row>
    <row r="2412" spans="5:16" hidden="1" x14ac:dyDescent="0.25">
      <c r="E2412" s="43">
        <f>COUNTIF($O$7:O2412,FORMULARIO!$AA$2)</f>
        <v>1</v>
      </c>
      <c r="M2412" s="46"/>
      <c r="P2412" s="16"/>
    </row>
    <row r="2413" spans="5:16" hidden="1" x14ac:dyDescent="0.25">
      <c r="E2413" s="43">
        <f>COUNTIF($O$7:O2413,FORMULARIO!$AA$2)</f>
        <v>1</v>
      </c>
      <c r="M2413" s="46"/>
      <c r="P2413" s="16"/>
    </row>
    <row r="2414" spans="5:16" hidden="1" x14ac:dyDescent="0.25">
      <c r="E2414" s="43">
        <f>COUNTIF($O$7:O2414,FORMULARIO!$AA$2)</f>
        <v>1</v>
      </c>
      <c r="M2414" s="46"/>
      <c r="P2414" s="16"/>
    </row>
    <row r="2415" spans="5:16" hidden="1" x14ac:dyDescent="0.25">
      <c r="E2415" s="43">
        <f>COUNTIF($O$7:O2415,FORMULARIO!$AA$2)</f>
        <v>1</v>
      </c>
      <c r="M2415" s="46"/>
      <c r="P2415" s="16"/>
    </row>
    <row r="2416" spans="5:16" hidden="1" x14ac:dyDescent="0.25">
      <c r="E2416" s="43">
        <f>COUNTIF($O$7:O2416,FORMULARIO!$AA$2)</f>
        <v>1</v>
      </c>
      <c r="M2416" s="46"/>
      <c r="P2416" s="16"/>
    </row>
    <row r="2417" spans="5:16" hidden="1" x14ac:dyDescent="0.25">
      <c r="E2417" s="43">
        <f>COUNTIF($O$7:O2417,FORMULARIO!$AA$2)</f>
        <v>1</v>
      </c>
      <c r="M2417" s="46"/>
      <c r="P2417" s="16"/>
    </row>
    <row r="2418" spans="5:16" hidden="1" x14ac:dyDescent="0.25">
      <c r="E2418" s="43">
        <f>COUNTIF($O$7:O2418,FORMULARIO!$AA$2)</f>
        <v>1</v>
      </c>
      <c r="M2418" s="46"/>
      <c r="P2418" s="16"/>
    </row>
    <row r="2419" spans="5:16" hidden="1" x14ac:dyDescent="0.25">
      <c r="E2419" s="43">
        <f>COUNTIF($O$7:O2419,FORMULARIO!$AA$2)</f>
        <v>1</v>
      </c>
      <c r="M2419" s="46"/>
      <c r="P2419" s="16"/>
    </row>
    <row r="2420" spans="5:16" hidden="1" x14ac:dyDescent="0.25">
      <c r="E2420" s="43">
        <f>COUNTIF($O$7:O2420,FORMULARIO!$AA$2)</f>
        <v>1</v>
      </c>
      <c r="M2420" s="46"/>
      <c r="P2420" s="16"/>
    </row>
    <row r="2421" spans="5:16" hidden="1" x14ac:dyDescent="0.25">
      <c r="E2421" s="43">
        <f>COUNTIF($O$7:O2421,FORMULARIO!$AA$2)</f>
        <v>1</v>
      </c>
      <c r="M2421" s="46"/>
      <c r="P2421" s="16"/>
    </row>
    <row r="2422" spans="5:16" hidden="1" x14ac:dyDescent="0.25">
      <c r="E2422" s="43">
        <f>COUNTIF($O$7:O2422,FORMULARIO!$AA$2)</f>
        <v>1</v>
      </c>
      <c r="M2422" s="46"/>
      <c r="P2422" s="16"/>
    </row>
    <row r="2423" spans="5:16" hidden="1" x14ac:dyDescent="0.25">
      <c r="E2423" s="43">
        <f>COUNTIF($O$7:O2423,FORMULARIO!$AA$2)</f>
        <v>1</v>
      </c>
      <c r="M2423" s="46"/>
      <c r="P2423" s="16"/>
    </row>
    <row r="2424" spans="5:16" hidden="1" x14ac:dyDescent="0.25">
      <c r="E2424" s="43">
        <f>COUNTIF($O$7:O2424,FORMULARIO!$AA$2)</f>
        <v>1</v>
      </c>
      <c r="M2424" s="46"/>
      <c r="P2424" s="16"/>
    </row>
    <row r="2425" spans="5:16" hidden="1" x14ac:dyDescent="0.25">
      <c r="E2425" s="43">
        <f>COUNTIF($O$7:O2425,FORMULARIO!$AA$2)</f>
        <v>1</v>
      </c>
      <c r="M2425" s="46"/>
      <c r="P2425" s="16"/>
    </row>
    <row r="2426" spans="5:16" hidden="1" x14ac:dyDescent="0.25">
      <c r="E2426" s="43">
        <f>COUNTIF($O$7:O2426,FORMULARIO!$AA$2)</f>
        <v>1</v>
      </c>
      <c r="M2426" s="46"/>
      <c r="P2426" s="16"/>
    </row>
    <row r="2427" spans="5:16" hidden="1" x14ac:dyDescent="0.25">
      <c r="E2427" s="43">
        <f>COUNTIF($O$7:O2427,FORMULARIO!$AA$2)</f>
        <v>1</v>
      </c>
      <c r="M2427" s="46"/>
      <c r="P2427" s="16"/>
    </row>
    <row r="2428" spans="5:16" hidden="1" x14ac:dyDescent="0.25">
      <c r="E2428" s="43">
        <f>COUNTIF($O$7:O2428,FORMULARIO!$AA$2)</f>
        <v>1</v>
      </c>
      <c r="M2428" s="46"/>
      <c r="P2428" s="16"/>
    </row>
    <row r="2429" spans="5:16" hidden="1" x14ac:dyDescent="0.25">
      <c r="E2429" s="43">
        <f>COUNTIF($O$7:O2429,FORMULARIO!$AA$2)</f>
        <v>1</v>
      </c>
      <c r="M2429" s="46"/>
      <c r="P2429" s="16"/>
    </row>
    <row r="2430" spans="5:16" hidden="1" x14ac:dyDescent="0.25">
      <c r="E2430" s="43">
        <f>COUNTIF($O$7:O2430,FORMULARIO!$AA$2)</f>
        <v>1</v>
      </c>
      <c r="M2430" s="46"/>
      <c r="P2430" s="16"/>
    </row>
    <row r="2431" spans="5:16" hidden="1" x14ac:dyDescent="0.25">
      <c r="E2431" s="43">
        <f>COUNTIF($O$7:O2431,FORMULARIO!$AA$2)</f>
        <v>1</v>
      </c>
      <c r="M2431" s="46"/>
      <c r="P2431" s="16"/>
    </row>
    <row r="2432" spans="5:16" hidden="1" x14ac:dyDescent="0.25">
      <c r="E2432" s="43">
        <f>COUNTIF($O$7:O2432,FORMULARIO!$AA$2)</f>
        <v>1</v>
      </c>
      <c r="M2432" s="46"/>
      <c r="P2432" s="16"/>
    </row>
    <row r="2433" spans="5:16" hidden="1" x14ac:dyDescent="0.25">
      <c r="E2433" s="43">
        <f>COUNTIF($O$7:O2433,FORMULARIO!$AA$2)</f>
        <v>1</v>
      </c>
      <c r="M2433" s="46"/>
      <c r="P2433" s="16"/>
    </row>
    <row r="2434" spans="5:16" hidden="1" x14ac:dyDescent="0.25">
      <c r="E2434" s="43">
        <f>COUNTIF($O$7:O2434,FORMULARIO!$AA$2)</f>
        <v>1</v>
      </c>
      <c r="M2434" s="46"/>
      <c r="P2434" s="16"/>
    </row>
    <row r="2435" spans="5:16" hidden="1" x14ac:dyDescent="0.25">
      <c r="E2435" s="43">
        <f>COUNTIF($O$7:O2435,FORMULARIO!$AA$2)</f>
        <v>1</v>
      </c>
      <c r="M2435" s="46"/>
      <c r="P2435" s="16"/>
    </row>
    <row r="2436" spans="5:16" hidden="1" x14ac:dyDescent="0.25">
      <c r="E2436" s="43">
        <f>COUNTIF($O$7:O2436,FORMULARIO!$AA$2)</f>
        <v>1</v>
      </c>
      <c r="M2436" s="46"/>
      <c r="P2436" s="16"/>
    </row>
    <row r="2437" spans="5:16" hidden="1" x14ac:dyDescent="0.25">
      <c r="E2437" s="43">
        <f>COUNTIF($O$7:O2437,FORMULARIO!$AA$2)</f>
        <v>1</v>
      </c>
      <c r="M2437" s="46"/>
      <c r="P2437" s="16"/>
    </row>
    <row r="2438" spans="5:16" hidden="1" x14ac:dyDescent="0.25">
      <c r="E2438" s="43">
        <f>COUNTIF($O$7:O2438,FORMULARIO!$AA$2)</f>
        <v>1</v>
      </c>
      <c r="M2438" s="46"/>
      <c r="P2438" s="16"/>
    </row>
    <row r="2439" spans="5:16" hidden="1" x14ac:dyDescent="0.25">
      <c r="E2439" s="43">
        <f>COUNTIF($O$7:O2439,FORMULARIO!$AA$2)</f>
        <v>1</v>
      </c>
      <c r="M2439" s="46"/>
      <c r="P2439" s="16"/>
    </row>
    <row r="2440" spans="5:16" hidden="1" x14ac:dyDescent="0.25">
      <c r="E2440" s="43">
        <f>COUNTIF($O$7:O2440,FORMULARIO!$AA$2)</f>
        <v>1</v>
      </c>
      <c r="M2440" s="46"/>
      <c r="P2440" s="16"/>
    </row>
    <row r="2441" spans="5:16" hidden="1" x14ac:dyDescent="0.25">
      <c r="E2441" s="43">
        <f>COUNTIF($O$7:O2441,FORMULARIO!$AA$2)</f>
        <v>1</v>
      </c>
      <c r="M2441" s="46"/>
      <c r="P2441" s="16"/>
    </row>
    <row r="2442" spans="5:16" hidden="1" x14ac:dyDescent="0.25">
      <c r="E2442" s="43">
        <f>COUNTIF($O$7:O2442,FORMULARIO!$AA$2)</f>
        <v>1</v>
      </c>
      <c r="M2442" s="46"/>
      <c r="P2442" s="16"/>
    </row>
    <row r="2443" spans="5:16" hidden="1" x14ac:dyDescent="0.25">
      <c r="E2443" s="43">
        <f>COUNTIF($O$7:O2443,FORMULARIO!$AA$2)</f>
        <v>1</v>
      </c>
      <c r="M2443" s="46"/>
      <c r="P2443" s="16"/>
    </row>
    <row r="2444" spans="5:16" hidden="1" x14ac:dyDescent="0.25">
      <c r="E2444" s="43">
        <f>COUNTIF($O$7:O2444,FORMULARIO!$AA$2)</f>
        <v>1</v>
      </c>
      <c r="M2444" s="46"/>
      <c r="P2444" s="16"/>
    </row>
    <row r="2445" spans="5:16" hidden="1" x14ac:dyDescent="0.25">
      <c r="E2445" s="43">
        <f>COUNTIF($O$7:O2445,FORMULARIO!$AA$2)</f>
        <v>1</v>
      </c>
      <c r="M2445" s="46"/>
      <c r="P2445" s="16"/>
    </row>
    <row r="2446" spans="5:16" hidden="1" x14ac:dyDescent="0.25">
      <c r="E2446" s="43">
        <f>COUNTIF($O$7:O2446,FORMULARIO!$AA$2)</f>
        <v>1</v>
      </c>
      <c r="M2446" s="46"/>
      <c r="P2446" s="16"/>
    </row>
    <row r="2447" spans="5:16" hidden="1" x14ac:dyDescent="0.25">
      <c r="E2447" s="43">
        <f>COUNTIF($O$7:O2447,FORMULARIO!$AA$2)</f>
        <v>1</v>
      </c>
      <c r="M2447" s="46"/>
      <c r="P2447" s="16"/>
    </row>
    <row r="2448" spans="5:16" hidden="1" x14ac:dyDescent="0.25">
      <c r="E2448" s="43">
        <f>COUNTIF($O$7:O2448,FORMULARIO!$AA$2)</f>
        <v>1</v>
      </c>
      <c r="M2448" s="46"/>
      <c r="P2448" s="16"/>
    </row>
    <row r="2449" spans="5:16" hidden="1" x14ac:dyDescent="0.25">
      <c r="E2449" s="43">
        <f>COUNTIF($O$7:O2449,FORMULARIO!$AA$2)</f>
        <v>1</v>
      </c>
      <c r="M2449" s="46"/>
      <c r="P2449" s="16"/>
    </row>
    <row r="2450" spans="5:16" hidden="1" x14ac:dyDescent="0.25">
      <c r="E2450" s="43">
        <f>COUNTIF($O$7:O2450,FORMULARIO!$AA$2)</f>
        <v>1</v>
      </c>
      <c r="M2450" s="46"/>
      <c r="P2450" s="16"/>
    </row>
    <row r="2451" spans="5:16" hidden="1" x14ac:dyDescent="0.25">
      <c r="E2451" s="43">
        <f>COUNTIF($O$7:O2451,FORMULARIO!$AA$2)</f>
        <v>1</v>
      </c>
      <c r="M2451" s="46"/>
      <c r="P2451" s="16"/>
    </row>
    <row r="2452" spans="5:16" hidden="1" x14ac:dyDescent="0.25">
      <c r="E2452" s="43">
        <f>COUNTIF($O$7:O2452,FORMULARIO!$AA$2)</f>
        <v>1</v>
      </c>
      <c r="M2452" s="46"/>
      <c r="P2452" s="16"/>
    </row>
    <row r="2453" spans="5:16" hidden="1" x14ac:dyDescent="0.25">
      <c r="E2453" s="43">
        <f>COUNTIF($O$7:O2453,FORMULARIO!$AA$2)</f>
        <v>1</v>
      </c>
      <c r="M2453" s="46"/>
      <c r="P2453" s="16"/>
    </row>
    <row r="2454" spans="5:16" hidden="1" x14ac:dyDescent="0.25">
      <c r="E2454" s="43">
        <f>COUNTIF($O$7:O2454,FORMULARIO!$AA$2)</f>
        <v>1</v>
      </c>
      <c r="M2454" s="46"/>
      <c r="P2454" s="16"/>
    </row>
    <row r="2455" spans="5:16" hidden="1" x14ac:dyDescent="0.25">
      <c r="E2455" s="43">
        <f>COUNTIF($O$7:O2455,FORMULARIO!$AA$2)</f>
        <v>1</v>
      </c>
      <c r="M2455" s="46"/>
      <c r="P2455" s="16"/>
    </row>
    <row r="2456" spans="5:16" hidden="1" x14ac:dyDescent="0.25">
      <c r="E2456" s="43">
        <f>COUNTIF($O$7:O2456,FORMULARIO!$AA$2)</f>
        <v>1</v>
      </c>
      <c r="M2456" s="46"/>
      <c r="P2456" s="16"/>
    </row>
    <row r="2457" spans="5:16" hidden="1" x14ac:dyDescent="0.25">
      <c r="E2457" s="43">
        <f>COUNTIF($O$7:O2457,FORMULARIO!$AA$2)</f>
        <v>1</v>
      </c>
      <c r="M2457" s="46"/>
      <c r="P2457" s="16"/>
    </row>
    <row r="2458" spans="5:16" hidden="1" x14ac:dyDescent="0.25">
      <c r="E2458" s="43">
        <f>COUNTIF($O$7:O2458,FORMULARIO!$AA$2)</f>
        <v>1</v>
      </c>
      <c r="M2458" s="46"/>
      <c r="P2458" s="16"/>
    </row>
    <row r="2459" spans="5:16" hidden="1" x14ac:dyDescent="0.25">
      <c r="E2459" s="43">
        <f>COUNTIF($O$7:O2459,FORMULARIO!$AA$2)</f>
        <v>1</v>
      </c>
      <c r="M2459" s="46"/>
      <c r="P2459" s="16"/>
    </row>
    <row r="2460" spans="5:16" hidden="1" x14ac:dyDescent="0.25">
      <c r="E2460" s="43">
        <f>COUNTIF($O$7:O2460,FORMULARIO!$AA$2)</f>
        <v>1</v>
      </c>
      <c r="M2460" s="46"/>
      <c r="P2460" s="16"/>
    </row>
    <row r="2461" spans="5:16" hidden="1" x14ac:dyDescent="0.25">
      <c r="E2461" s="43">
        <f>COUNTIF($O$7:O2461,FORMULARIO!$AA$2)</f>
        <v>1</v>
      </c>
      <c r="M2461" s="46"/>
      <c r="P2461" s="16"/>
    </row>
    <row r="2462" spans="5:16" hidden="1" x14ac:dyDescent="0.25">
      <c r="E2462" s="43">
        <f>COUNTIF($O$7:O2462,FORMULARIO!$AA$2)</f>
        <v>1</v>
      </c>
      <c r="M2462" s="46"/>
      <c r="P2462" s="16"/>
    </row>
    <row r="2463" spans="5:16" hidden="1" x14ac:dyDescent="0.25">
      <c r="E2463" s="43">
        <f>COUNTIF($O$7:O2463,FORMULARIO!$AA$2)</f>
        <v>1</v>
      </c>
      <c r="M2463" s="46"/>
      <c r="P2463" s="16"/>
    </row>
    <row r="2464" spans="5:16" hidden="1" x14ac:dyDescent="0.25">
      <c r="E2464" s="43">
        <f>COUNTIF($O$7:O2464,FORMULARIO!$AA$2)</f>
        <v>1</v>
      </c>
      <c r="M2464" s="46"/>
      <c r="P2464" s="16"/>
    </row>
    <row r="2465" spans="5:16" hidden="1" x14ac:dyDescent="0.25">
      <c r="E2465" s="43">
        <f>COUNTIF($O$7:O2465,FORMULARIO!$AA$2)</f>
        <v>1</v>
      </c>
      <c r="M2465" s="46"/>
      <c r="P2465" s="16"/>
    </row>
    <row r="2466" spans="5:16" hidden="1" x14ac:dyDescent="0.25">
      <c r="E2466" s="43">
        <f>COUNTIF($O$7:O2466,FORMULARIO!$AA$2)</f>
        <v>1</v>
      </c>
      <c r="M2466" s="46"/>
      <c r="P2466" s="16"/>
    </row>
    <row r="2467" spans="5:16" hidden="1" x14ac:dyDescent="0.25">
      <c r="E2467" s="43">
        <f>COUNTIF($O$7:O2467,FORMULARIO!$AA$2)</f>
        <v>1</v>
      </c>
      <c r="M2467" s="46"/>
      <c r="P2467" s="16"/>
    </row>
    <row r="2468" spans="5:16" hidden="1" x14ac:dyDescent="0.25">
      <c r="E2468" s="43">
        <f>COUNTIF($O$7:O2468,FORMULARIO!$AA$2)</f>
        <v>1</v>
      </c>
      <c r="M2468" s="46"/>
      <c r="P2468" s="16"/>
    </row>
    <row r="2469" spans="5:16" hidden="1" x14ac:dyDescent="0.25">
      <c r="E2469" s="43">
        <f>COUNTIF($O$7:O2469,FORMULARIO!$AA$2)</f>
        <v>1</v>
      </c>
      <c r="M2469" s="46"/>
      <c r="P2469" s="16"/>
    </row>
    <row r="2470" spans="5:16" hidden="1" x14ac:dyDescent="0.25">
      <c r="E2470" s="43">
        <f>COUNTIF($O$7:O2470,FORMULARIO!$AA$2)</f>
        <v>1</v>
      </c>
      <c r="M2470" s="46"/>
      <c r="P2470" s="16"/>
    </row>
    <row r="2471" spans="5:16" hidden="1" x14ac:dyDescent="0.25">
      <c r="E2471" s="43">
        <f>COUNTIF($O$7:O2471,FORMULARIO!$AA$2)</f>
        <v>1</v>
      </c>
      <c r="M2471" s="46"/>
      <c r="P2471" s="16"/>
    </row>
    <row r="2472" spans="5:16" hidden="1" x14ac:dyDescent="0.25">
      <c r="E2472" s="43">
        <f>COUNTIF($O$7:O2472,FORMULARIO!$AA$2)</f>
        <v>1</v>
      </c>
      <c r="M2472" s="46"/>
      <c r="P2472" s="16"/>
    </row>
    <row r="2473" spans="5:16" hidden="1" x14ac:dyDescent="0.25">
      <c r="E2473" s="43">
        <f>COUNTIF($O$7:O2473,FORMULARIO!$AA$2)</f>
        <v>1</v>
      </c>
      <c r="M2473" s="46"/>
      <c r="P2473" s="16"/>
    </row>
    <row r="2474" spans="5:16" hidden="1" x14ac:dyDescent="0.25">
      <c r="E2474" s="43">
        <f>COUNTIF($O$7:O2474,FORMULARIO!$AA$2)</f>
        <v>1</v>
      </c>
      <c r="M2474" s="46"/>
      <c r="P2474" s="16"/>
    </row>
    <row r="2475" spans="5:16" hidden="1" x14ac:dyDescent="0.25">
      <c r="E2475" s="43">
        <f>COUNTIF($O$7:O2475,FORMULARIO!$AA$2)</f>
        <v>1</v>
      </c>
      <c r="M2475" s="46"/>
      <c r="P2475" s="16"/>
    </row>
    <row r="2476" spans="5:16" hidden="1" x14ac:dyDescent="0.25">
      <c r="E2476" s="43">
        <f>COUNTIF($O$7:O2476,FORMULARIO!$AA$2)</f>
        <v>1</v>
      </c>
      <c r="M2476" s="46"/>
      <c r="P2476" s="16"/>
    </row>
    <row r="2477" spans="5:16" hidden="1" x14ac:dyDescent="0.25">
      <c r="E2477" s="43">
        <f>COUNTIF($O$7:O2477,FORMULARIO!$AA$2)</f>
        <v>1</v>
      </c>
      <c r="M2477" s="46"/>
      <c r="P2477" s="16"/>
    </row>
    <row r="2478" spans="5:16" hidden="1" x14ac:dyDescent="0.25">
      <c r="E2478" s="43">
        <f>COUNTIF($O$7:O2478,FORMULARIO!$AA$2)</f>
        <v>1</v>
      </c>
      <c r="M2478" s="46"/>
      <c r="P2478" s="16"/>
    </row>
    <row r="2479" spans="5:16" hidden="1" x14ac:dyDescent="0.25">
      <c r="E2479" s="43">
        <f>COUNTIF($O$7:O2479,FORMULARIO!$AA$2)</f>
        <v>1</v>
      </c>
      <c r="M2479" s="46"/>
      <c r="P2479" s="16"/>
    </row>
    <row r="2480" spans="5:16" hidden="1" x14ac:dyDescent="0.25">
      <c r="E2480" s="43">
        <f>COUNTIF($O$7:O2480,FORMULARIO!$AA$2)</f>
        <v>1</v>
      </c>
      <c r="M2480" s="46"/>
      <c r="P2480" s="16"/>
    </row>
    <row r="2481" spans="5:16" hidden="1" x14ac:dyDescent="0.25">
      <c r="E2481" s="43">
        <f>COUNTIF($O$7:O2481,FORMULARIO!$AA$2)</f>
        <v>1</v>
      </c>
      <c r="M2481" s="46"/>
      <c r="P2481" s="16"/>
    </row>
    <row r="2482" spans="5:16" hidden="1" x14ac:dyDescent="0.25">
      <c r="E2482" s="43">
        <f>COUNTIF($O$7:O2482,FORMULARIO!$AA$2)</f>
        <v>1</v>
      </c>
      <c r="M2482" s="46"/>
      <c r="P2482" s="16"/>
    </row>
    <row r="2483" spans="5:16" hidden="1" x14ac:dyDescent="0.25">
      <c r="E2483" s="43">
        <f>COUNTIF($O$7:O2483,FORMULARIO!$AA$2)</f>
        <v>1</v>
      </c>
      <c r="M2483" s="46"/>
      <c r="P2483" s="16"/>
    </row>
    <row r="2484" spans="5:16" hidden="1" x14ac:dyDescent="0.25">
      <c r="E2484" s="43">
        <f>COUNTIF($O$7:O2484,FORMULARIO!$AA$2)</f>
        <v>1</v>
      </c>
      <c r="M2484" s="46"/>
      <c r="P2484" s="16"/>
    </row>
    <row r="2485" spans="5:16" hidden="1" x14ac:dyDescent="0.25">
      <c r="E2485" s="43">
        <f>COUNTIF($O$7:O2485,FORMULARIO!$AA$2)</f>
        <v>1</v>
      </c>
      <c r="M2485" s="46"/>
      <c r="P2485" s="16"/>
    </row>
    <row r="2486" spans="5:16" hidden="1" x14ac:dyDescent="0.25">
      <c r="E2486" s="43">
        <f>COUNTIF($O$7:O2486,FORMULARIO!$AA$2)</f>
        <v>1</v>
      </c>
      <c r="M2486" s="46"/>
      <c r="P2486" s="16"/>
    </row>
    <row r="2487" spans="5:16" hidden="1" x14ac:dyDescent="0.25">
      <c r="E2487" s="43">
        <f>COUNTIF($O$7:O2487,FORMULARIO!$AA$2)</f>
        <v>1</v>
      </c>
      <c r="M2487" s="46"/>
      <c r="P2487" s="16"/>
    </row>
    <row r="2488" spans="5:16" hidden="1" x14ac:dyDescent="0.25">
      <c r="E2488" s="43">
        <f>COUNTIF($O$7:O2488,FORMULARIO!$AA$2)</f>
        <v>1</v>
      </c>
      <c r="M2488" s="46"/>
      <c r="P2488" s="16"/>
    </row>
    <row r="2489" spans="5:16" hidden="1" x14ac:dyDescent="0.25">
      <c r="E2489" s="43">
        <f>COUNTIF($O$7:O2489,FORMULARIO!$AA$2)</f>
        <v>1</v>
      </c>
      <c r="M2489" s="46"/>
      <c r="P2489" s="16"/>
    </row>
    <row r="2490" spans="5:16" hidden="1" x14ac:dyDescent="0.25">
      <c r="E2490" s="43">
        <f>COUNTIF($O$7:O2490,FORMULARIO!$AA$2)</f>
        <v>1</v>
      </c>
      <c r="M2490" s="46"/>
      <c r="P2490" s="16"/>
    </row>
    <row r="2491" spans="5:16" hidden="1" x14ac:dyDescent="0.25">
      <c r="E2491" s="43">
        <f>COUNTIF($O$7:O2491,FORMULARIO!$AA$2)</f>
        <v>1</v>
      </c>
      <c r="M2491" s="46"/>
      <c r="P2491" s="16"/>
    </row>
    <row r="2492" spans="5:16" hidden="1" x14ac:dyDescent="0.25">
      <c r="E2492" s="43">
        <f>COUNTIF($O$7:O2492,FORMULARIO!$AA$2)</f>
        <v>1</v>
      </c>
      <c r="M2492" s="46"/>
      <c r="P2492" s="16"/>
    </row>
    <row r="2493" spans="5:16" hidden="1" x14ac:dyDescent="0.25">
      <c r="E2493" s="43">
        <f>COUNTIF($O$7:O2493,FORMULARIO!$AA$2)</f>
        <v>1</v>
      </c>
      <c r="M2493" s="46"/>
      <c r="P2493" s="16"/>
    </row>
    <row r="2494" spans="5:16" hidden="1" x14ac:dyDescent="0.25">
      <c r="E2494" s="43">
        <f>COUNTIF($O$7:O2494,FORMULARIO!$AA$2)</f>
        <v>1</v>
      </c>
      <c r="M2494" s="46"/>
      <c r="P2494" s="16"/>
    </row>
    <row r="2495" spans="5:16" hidden="1" x14ac:dyDescent="0.25">
      <c r="E2495" s="43">
        <f>COUNTIF($O$7:O2495,FORMULARIO!$AA$2)</f>
        <v>1</v>
      </c>
      <c r="M2495" s="46"/>
      <c r="P2495" s="16"/>
    </row>
    <row r="2496" spans="5:16" hidden="1" x14ac:dyDescent="0.25">
      <c r="E2496" s="43">
        <f>COUNTIF($O$7:O2496,FORMULARIO!$AA$2)</f>
        <v>1</v>
      </c>
      <c r="M2496" s="46"/>
      <c r="P2496" s="16"/>
    </row>
    <row r="2497" spans="5:16" hidden="1" x14ac:dyDescent="0.25">
      <c r="E2497" s="43">
        <f>COUNTIF($O$7:O2497,FORMULARIO!$AA$2)</f>
        <v>1</v>
      </c>
      <c r="M2497" s="46"/>
      <c r="P2497" s="16"/>
    </row>
    <row r="2498" spans="5:16" hidden="1" x14ac:dyDescent="0.25">
      <c r="E2498" s="43">
        <f>COUNTIF($O$7:O2498,FORMULARIO!$AA$2)</f>
        <v>1</v>
      </c>
      <c r="M2498" s="46"/>
      <c r="P2498" s="16"/>
    </row>
    <row r="2499" spans="5:16" hidden="1" x14ac:dyDescent="0.25">
      <c r="E2499" s="43">
        <f>COUNTIF($O$7:O2499,FORMULARIO!$AA$2)</f>
        <v>1</v>
      </c>
      <c r="M2499" s="46"/>
      <c r="P2499" s="16"/>
    </row>
    <row r="2500" spans="5:16" hidden="1" x14ac:dyDescent="0.25">
      <c r="E2500" s="43">
        <f>COUNTIF($O$7:O2500,FORMULARIO!$AA$2)</f>
        <v>1</v>
      </c>
      <c r="M2500" s="46"/>
      <c r="P2500" s="16"/>
    </row>
    <row r="2501" spans="5:16" hidden="1" x14ac:dyDescent="0.25">
      <c r="E2501" s="43">
        <f>COUNTIF($O$7:O2501,FORMULARIO!$AA$2)</f>
        <v>1</v>
      </c>
      <c r="M2501" s="46"/>
      <c r="P2501" s="16"/>
    </row>
    <row r="2502" spans="5:16" hidden="1" x14ac:dyDescent="0.25">
      <c r="E2502" s="43">
        <f>COUNTIF($O$7:O2502,FORMULARIO!$AA$2)</f>
        <v>1</v>
      </c>
      <c r="M2502" s="46"/>
      <c r="P2502" s="16"/>
    </row>
    <row r="2503" spans="5:16" hidden="1" x14ac:dyDescent="0.25">
      <c r="E2503" s="43">
        <f>COUNTIF($O$7:O2503,FORMULARIO!$AA$2)</f>
        <v>1</v>
      </c>
      <c r="M2503" s="46"/>
      <c r="P2503" s="16"/>
    </row>
    <row r="2504" spans="5:16" hidden="1" x14ac:dyDescent="0.25">
      <c r="E2504" s="43">
        <f>COUNTIF($O$7:O2504,FORMULARIO!$AA$2)</f>
        <v>1</v>
      </c>
      <c r="M2504" s="46"/>
      <c r="P2504" s="16"/>
    </row>
    <row r="2505" spans="5:16" hidden="1" x14ac:dyDescent="0.25">
      <c r="E2505" s="43">
        <f>COUNTIF($O$7:O2505,FORMULARIO!$AA$2)</f>
        <v>1</v>
      </c>
      <c r="M2505" s="46"/>
      <c r="P2505" s="16"/>
    </row>
    <row r="2506" spans="5:16" hidden="1" x14ac:dyDescent="0.25">
      <c r="E2506" s="43">
        <f>COUNTIF($O$7:O2506,FORMULARIO!$AA$2)</f>
        <v>1</v>
      </c>
      <c r="M2506" s="46"/>
      <c r="P2506" s="16"/>
    </row>
    <row r="2507" spans="5:16" hidden="1" x14ac:dyDescent="0.25">
      <c r="E2507" s="43">
        <f>COUNTIF($O$7:O2507,FORMULARIO!$AA$2)</f>
        <v>1</v>
      </c>
      <c r="M2507" s="46"/>
      <c r="P2507" s="16"/>
    </row>
    <row r="2508" spans="5:16" hidden="1" x14ac:dyDescent="0.25">
      <c r="E2508" s="43">
        <f>COUNTIF($O$7:O2508,FORMULARIO!$AA$2)</f>
        <v>1</v>
      </c>
      <c r="M2508" s="46"/>
      <c r="P2508" s="16"/>
    </row>
    <row r="2509" spans="5:16" hidden="1" x14ac:dyDescent="0.25">
      <c r="E2509" s="43">
        <f>COUNTIF($O$7:O2509,FORMULARIO!$AA$2)</f>
        <v>1</v>
      </c>
      <c r="M2509" s="46"/>
      <c r="P2509" s="16"/>
    </row>
    <row r="2510" spans="5:16" hidden="1" x14ac:dyDescent="0.25">
      <c r="E2510" s="43">
        <f>COUNTIF($O$7:O2510,FORMULARIO!$AA$2)</f>
        <v>1</v>
      </c>
      <c r="M2510" s="46"/>
      <c r="P2510" s="16"/>
    </row>
    <row r="2511" spans="5:16" hidden="1" x14ac:dyDescent="0.25">
      <c r="E2511" s="43">
        <f>COUNTIF($O$7:O2511,FORMULARIO!$AA$2)</f>
        <v>1</v>
      </c>
      <c r="M2511" s="46"/>
      <c r="P2511" s="16"/>
    </row>
    <row r="2512" spans="5:16" hidden="1" x14ac:dyDescent="0.25">
      <c r="E2512" s="43">
        <f>COUNTIF($O$7:O2512,FORMULARIO!$AA$2)</f>
        <v>1</v>
      </c>
      <c r="M2512" s="46"/>
      <c r="P2512" s="16"/>
    </row>
    <row r="2513" spans="5:16" hidden="1" x14ac:dyDescent="0.25">
      <c r="E2513" s="43">
        <f>COUNTIF($O$7:O2513,FORMULARIO!$AA$2)</f>
        <v>1</v>
      </c>
      <c r="M2513" s="46"/>
      <c r="P2513" s="16"/>
    </row>
    <row r="2514" spans="5:16" hidden="1" x14ac:dyDescent="0.25">
      <c r="E2514" s="43">
        <f>COUNTIF($O$7:O2514,FORMULARIO!$AA$2)</f>
        <v>1</v>
      </c>
      <c r="M2514" s="46"/>
      <c r="P2514" s="16"/>
    </row>
    <row r="2515" spans="5:16" hidden="1" x14ac:dyDescent="0.25">
      <c r="E2515" s="43">
        <f>COUNTIF($O$7:O2515,FORMULARIO!$AA$2)</f>
        <v>1</v>
      </c>
      <c r="M2515" s="46"/>
      <c r="P2515" s="16"/>
    </row>
    <row r="2516" spans="5:16" hidden="1" x14ac:dyDescent="0.25">
      <c r="E2516" s="43">
        <f>COUNTIF($O$7:O2516,FORMULARIO!$AA$2)</f>
        <v>1</v>
      </c>
      <c r="M2516" s="46"/>
      <c r="P2516" s="16"/>
    </row>
    <row r="2517" spans="5:16" hidden="1" x14ac:dyDescent="0.25">
      <c r="E2517" s="43">
        <f>COUNTIF($O$7:O2517,FORMULARIO!$AA$2)</f>
        <v>1</v>
      </c>
      <c r="M2517" s="46"/>
      <c r="P2517" s="16"/>
    </row>
    <row r="2518" spans="5:16" hidden="1" x14ac:dyDescent="0.25">
      <c r="E2518" s="43">
        <f>COUNTIF($O$7:O2518,FORMULARIO!$AA$2)</f>
        <v>1</v>
      </c>
      <c r="M2518" s="46"/>
      <c r="P2518" s="16"/>
    </row>
    <row r="2519" spans="5:16" hidden="1" x14ac:dyDescent="0.25">
      <c r="E2519" s="43">
        <f>COUNTIF($O$7:O2519,FORMULARIO!$AA$2)</f>
        <v>1</v>
      </c>
      <c r="M2519" s="46"/>
      <c r="P2519" s="16"/>
    </row>
    <row r="2520" spans="5:16" hidden="1" x14ac:dyDescent="0.25">
      <c r="E2520" s="43">
        <f>COUNTIF($O$7:O2520,FORMULARIO!$AA$2)</f>
        <v>1</v>
      </c>
      <c r="M2520" s="46"/>
      <c r="P2520" s="16"/>
    </row>
    <row r="2521" spans="5:16" hidden="1" x14ac:dyDescent="0.25">
      <c r="E2521" s="43">
        <f>COUNTIF($O$7:O2521,FORMULARIO!$AA$2)</f>
        <v>1</v>
      </c>
      <c r="M2521" s="46"/>
      <c r="P2521" s="16"/>
    </row>
    <row r="2522" spans="5:16" hidden="1" x14ac:dyDescent="0.25">
      <c r="E2522" s="43">
        <f>COUNTIF($O$7:O2522,FORMULARIO!$AA$2)</f>
        <v>1</v>
      </c>
      <c r="M2522" s="46"/>
      <c r="P2522" s="16"/>
    </row>
    <row r="2523" spans="5:16" hidden="1" x14ac:dyDescent="0.25">
      <c r="E2523" s="43">
        <f>COUNTIF($O$7:O2523,FORMULARIO!$AA$2)</f>
        <v>1</v>
      </c>
      <c r="M2523" s="46"/>
      <c r="P2523" s="16"/>
    </row>
    <row r="2524" spans="5:16" hidden="1" x14ac:dyDescent="0.25">
      <c r="E2524" s="43">
        <f>COUNTIF($O$7:O2524,FORMULARIO!$AA$2)</f>
        <v>1</v>
      </c>
      <c r="M2524" s="46"/>
      <c r="P2524" s="16"/>
    </row>
    <row r="2525" spans="5:16" hidden="1" x14ac:dyDescent="0.25">
      <c r="E2525" s="43">
        <f>COUNTIF($O$7:O2525,FORMULARIO!$AA$2)</f>
        <v>1</v>
      </c>
      <c r="M2525" s="46"/>
      <c r="P2525" s="16"/>
    </row>
    <row r="2526" spans="5:16" hidden="1" x14ac:dyDescent="0.25">
      <c r="E2526" s="43">
        <f>COUNTIF($O$7:O2526,FORMULARIO!$AA$2)</f>
        <v>1</v>
      </c>
      <c r="M2526" s="46"/>
      <c r="P2526" s="16"/>
    </row>
    <row r="2527" spans="5:16" hidden="1" x14ac:dyDescent="0.25">
      <c r="E2527" s="43">
        <f>COUNTIF($O$7:O2527,FORMULARIO!$AA$2)</f>
        <v>1</v>
      </c>
      <c r="M2527" s="46"/>
      <c r="P2527" s="16"/>
    </row>
    <row r="2528" spans="5:16" hidden="1" x14ac:dyDescent="0.25">
      <c r="E2528" s="43">
        <f>COUNTIF($O$7:O2528,FORMULARIO!$AA$2)</f>
        <v>1</v>
      </c>
      <c r="M2528" s="46"/>
      <c r="P2528" s="16"/>
    </row>
    <row r="2529" spans="5:16" hidden="1" x14ac:dyDescent="0.25">
      <c r="E2529" s="43">
        <f>COUNTIF($O$7:O2529,FORMULARIO!$AA$2)</f>
        <v>1</v>
      </c>
      <c r="M2529" s="46"/>
      <c r="P2529" s="16"/>
    </row>
    <row r="2530" spans="5:16" hidden="1" x14ac:dyDescent="0.25">
      <c r="E2530" s="43">
        <f>COUNTIF($O$7:O2530,FORMULARIO!$AA$2)</f>
        <v>1</v>
      </c>
      <c r="M2530" s="46"/>
      <c r="P2530" s="16"/>
    </row>
    <row r="2531" spans="5:16" hidden="1" x14ac:dyDescent="0.25">
      <c r="E2531" s="43">
        <f>COUNTIF($O$7:O2531,FORMULARIO!$AA$2)</f>
        <v>1</v>
      </c>
      <c r="M2531" s="46"/>
      <c r="P2531" s="16"/>
    </row>
    <row r="2532" spans="5:16" hidden="1" x14ac:dyDescent="0.25">
      <c r="E2532" s="43">
        <f>COUNTIF($O$7:O2532,FORMULARIO!$AA$2)</f>
        <v>1</v>
      </c>
      <c r="M2532" s="46"/>
      <c r="P2532" s="16"/>
    </row>
    <row r="2533" spans="5:16" hidden="1" x14ac:dyDescent="0.25">
      <c r="E2533" s="43">
        <f>COUNTIF($O$7:O2533,FORMULARIO!$AA$2)</f>
        <v>1</v>
      </c>
      <c r="M2533" s="46"/>
      <c r="P2533" s="16"/>
    </row>
    <row r="2534" spans="5:16" hidden="1" x14ac:dyDescent="0.25">
      <c r="E2534" s="43">
        <f>COUNTIF($O$7:O2534,FORMULARIO!$AA$2)</f>
        <v>1</v>
      </c>
      <c r="M2534" s="46"/>
      <c r="P2534" s="16"/>
    </row>
    <row r="2535" spans="5:16" hidden="1" x14ac:dyDescent="0.25">
      <c r="E2535" s="43">
        <f>COUNTIF($O$7:O2535,FORMULARIO!$AA$2)</f>
        <v>1</v>
      </c>
      <c r="M2535" s="46"/>
      <c r="P2535" s="16"/>
    </row>
    <row r="2536" spans="5:16" hidden="1" x14ac:dyDescent="0.25">
      <c r="E2536" s="43">
        <f>COUNTIF($O$7:O2536,FORMULARIO!$AA$2)</f>
        <v>1</v>
      </c>
      <c r="M2536" s="46"/>
      <c r="P2536" s="16"/>
    </row>
    <row r="2537" spans="5:16" hidden="1" x14ac:dyDescent="0.25">
      <c r="E2537" s="43">
        <f>COUNTIF($O$7:O2537,FORMULARIO!$AA$2)</f>
        <v>1</v>
      </c>
      <c r="M2537" s="46"/>
      <c r="P2537" s="16"/>
    </row>
    <row r="2538" spans="5:16" hidden="1" x14ac:dyDescent="0.25">
      <c r="E2538" s="43">
        <f>COUNTIF($O$7:O2538,FORMULARIO!$AA$2)</f>
        <v>1</v>
      </c>
      <c r="M2538" s="46"/>
      <c r="P2538" s="16"/>
    </row>
    <row r="2539" spans="5:16" hidden="1" x14ac:dyDescent="0.25">
      <c r="E2539" s="43">
        <f>COUNTIF($O$7:O2539,FORMULARIO!$AA$2)</f>
        <v>1</v>
      </c>
      <c r="M2539" s="46"/>
      <c r="P2539" s="16"/>
    </row>
    <row r="2540" spans="5:16" hidden="1" x14ac:dyDescent="0.25">
      <c r="E2540" s="43">
        <f>COUNTIF($O$7:O2540,FORMULARIO!$AA$2)</f>
        <v>1</v>
      </c>
      <c r="M2540" s="46"/>
      <c r="P2540" s="16"/>
    </row>
    <row r="2541" spans="5:16" hidden="1" x14ac:dyDescent="0.25">
      <c r="E2541" s="43">
        <f>COUNTIF($O$7:O2541,FORMULARIO!$AA$2)</f>
        <v>1</v>
      </c>
      <c r="M2541" s="46"/>
      <c r="P2541" s="16"/>
    </row>
    <row r="2542" spans="5:16" hidden="1" x14ac:dyDescent="0.25">
      <c r="E2542" s="43">
        <f>COUNTIF($O$7:O2542,FORMULARIO!$AA$2)</f>
        <v>1</v>
      </c>
      <c r="M2542" s="46"/>
      <c r="P2542" s="16"/>
    </row>
    <row r="2543" spans="5:16" hidden="1" x14ac:dyDescent="0.25">
      <c r="E2543" s="43">
        <f>COUNTIF($O$7:O2543,FORMULARIO!$AA$2)</f>
        <v>1</v>
      </c>
      <c r="M2543" s="46"/>
      <c r="P2543" s="16"/>
    </row>
    <row r="2544" spans="5:16" hidden="1" x14ac:dyDescent="0.25">
      <c r="E2544" s="43">
        <f>COUNTIF($O$7:O2544,FORMULARIO!$AA$2)</f>
        <v>1</v>
      </c>
      <c r="M2544" s="46"/>
      <c r="P2544" s="16"/>
    </row>
    <row r="2545" spans="5:16" hidden="1" x14ac:dyDescent="0.25">
      <c r="E2545" s="43">
        <f>COUNTIF($O$7:O2545,FORMULARIO!$AA$2)</f>
        <v>1</v>
      </c>
      <c r="M2545" s="46"/>
      <c r="P2545" s="16"/>
    </row>
    <row r="2546" spans="5:16" hidden="1" x14ac:dyDescent="0.25">
      <c r="E2546" s="43">
        <f>COUNTIF($O$7:O2546,FORMULARIO!$AA$2)</f>
        <v>1</v>
      </c>
      <c r="M2546" s="46"/>
      <c r="P2546" s="16"/>
    </row>
    <row r="2547" spans="5:16" hidden="1" x14ac:dyDescent="0.25">
      <c r="E2547" s="43">
        <f>COUNTIF($O$7:O2547,FORMULARIO!$AA$2)</f>
        <v>1</v>
      </c>
      <c r="M2547" s="46"/>
      <c r="P2547" s="16"/>
    </row>
    <row r="2548" spans="5:16" hidden="1" x14ac:dyDescent="0.25">
      <c r="E2548" s="43">
        <f>COUNTIF($O$7:O2548,FORMULARIO!$AA$2)</f>
        <v>1</v>
      </c>
      <c r="M2548" s="46"/>
      <c r="P2548" s="16"/>
    </row>
    <row r="2549" spans="5:16" hidden="1" x14ac:dyDescent="0.25">
      <c r="E2549" s="43">
        <f>COUNTIF($O$7:O2549,FORMULARIO!$AA$2)</f>
        <v>1</v>
      </c>
      <c r="M2549" s="46"/>
      <c r="P2549" s="16"/>
    </row>
    <row r="2550" spans="5:16" hidden="1" x14ac:dyDescent="0.25">
      <c r="E2550" s="43">
        <f>COUNTIF($O$7:O2550,FORMULARIO!$AA$2)</f>
        <v>1</v>
      </c>
      <c r="M2550" s="46"/>
      <c r="P2550" s="16"/>
    </row>
    <row r="2551" spans="5:16" hidden="1" x14ac:dyDescent="0.25">
      <c r="E2551" s="43">
        <f>COUNTIF($O$7:O2551,FORMULARIO!$AA$2)</f>
        <v>1</v>
      </c>
      <c r="M2551" s="46"/>
      <c r="P2551" s="16"/>
    </row>
    <row r="2552" spans="5:16" hidden="1" x14ac:dyDescent="0.25">
      <c r="E2552" s="43">
        <f>COUNTIF($O$7:O2552,FORMULARIO!$AA$2)</f>
        <v>1</v>
      </c>
      <c r="M2552" s="46"/>
      <c r="P2552" s="16"/>
    </row>
    <row r="2553" spans="5:16" hidden="1" x14ac:dyDescent="0.25">
      <c r="E2553" s="43">
        <f>COUNTIF($O$7:O2553,FORMULARIO!$AA$2)</f>
        <v>1</v>
      </c>
      <c r="M2553" s="46"/>
      <c r="P2553" s="16"/>
    </row>
    <row r="2554" spans="5:16" hidden="1" x14ac:dyDescent="0.25">
      <c r="E2554" s="43">
        <f>COUNTIF($O$7:O2554,FORMULARIO!$AA$2)</f>
        <v>1</v>
      </c>
      <c r="M2554" s="46"/>
      <c r="P2554" s="16"/>
    </row>
    <row r="2555" spans="5:16" hidden="1" x14ac:dyDescent="0.25">
      <c r="E2555" s="43">
        <f>COUNTIF($O$7:O2555,FORMULARIO!$AA$2)</f>
        <v>1</v>
      </c>
      <c r="M2555" s="46"/>
      <c r="P2555" s="16"/>
    </row>
    <row r="2556" spans="5:16" hidden="1" x14ac:dyDescent="0.25">
      <c r="E2556" s="43">
        <f>COUNTIF($O$7:O2556,FORMULARIO!$AA$2)</f>
        <v>1</v>
      </c>
      <c r="M2556" s="46"/>
      <c r="P2556" s="16"/>
    </row>
    <row r="2557" spans="5:16" hidden="1" x14ac:dyDescent="0.25">
      <c r="E2557" s="43">
        <f>COUNTIF($O$7:O2557,FORMULARIO!$AA$2)</f>
        <v>1</v>
      </c>
      <c r="M2557" s="46"/>
      <c r="P2557" s="16"/>
    </row>
    <row r="2558" spans="5:16" hidden="1" x14ac:dyDescent="0.25">
      <c r="E2558" s="43">
        <f>COUNTIF($O$7:O2558,FORMULARIO!$AA$2)</f>
        <v>1</v>
      </c>
      <c r="M2558" s="46"/>
      <c r="P2558" s="16"/>
    </row>
    <row r="2559" spans="5:16" hidden="1" x14ac:dyDescent="0.25">
      <c r="E2559" s="43">
        <f>COUNTIF($O$7:O2559,FORMULARIO!$AA$2)</f>
        <v>1</v>
      </c>
      <c r="M2559" s="46"/>
      <c r="P2559" s="16"/>
    </row>
    <row r="2560" spans="5:16" hidden="1" x14ac:dyDescent="0.25">
      <c r="E2560" s="43">
        <f>COUNTIF($O$7:O2560,FORMULARIO!$AA$2)</f>
        <v>1</v>
      </c>
      <c r="M2560" s="46"/>
      <c r="P2560" s="16"/>
    </row>
    <row r="2561" spans="5:16" hidden="1" x14ac:dyDescent="0.25">
      <c r="E2561" s="43">
        <f>COUNTIF($O$7:O2561,FORMULARIO!$AA$2)</f>
        <v>1</v>
      </c>
      <c r="M2561" s="46"/>
      <c r="P2561" s="16"/>
    </row>
    <row r="2562" spans="5:16" hidden="1" x14ac:dyDescent="0.25">
      <c r="E2562" s="43">
        <f>COUNTIF($O$7:O2562,FORMULARIO!$AA$2)</f>
        <v>1</v>
      </c>
      <c r="M2562" s="46"/>
      <c r="P2562" s="16"/>
    </row>
    <row r="2563" spans="5:16" hidden="1" x14ac:dyDescent="0.25">
      <c r="E2563" s="43">
        <f>COUNTIF($O$7:O2563,FORMULARIO!$AA$2)</f>
        <v>1</v>
      </c>
      <c r="M2563" s="46"/>
      <c r="P2563" s="16"/>
    </row>
    <row r="2564" spans="5:16" hidden="1" x14ac:dyDescent="0.25">
      <c r="E2564" s="43">
        <f>COUNTIF($O$7:O2564,FORMULARIO!$AA$2)</f>
        <v>1</v>
      </c>
      <c r="M2564" s="46"/>
      <c r="P2564" s="16"/>
    </row>
    <row r="2565" spans="5:16" hidden="1" x14ac:dyDescent="0.25">
      <c r="E2565" s="43">
        <f>COUNTIF($O$7:O2565,FORMULARIO!$AA$2)</f>
        <v>1</v>
      </c>
      <c r="M2565" s="46"/>
      <c r="P2565" s="16"/>
    </row>
    <row r="2566" spans="5:16" hidden="1" x14ac:dyDescent="0.25">
      <c r="E2566" s="43">
        <f>COUNTIF($O$7:O2566,FORMULARIO!$AA$2)</f>
        <v>1</v>
      </c>
      <c r="M2566" s="46"/>
      <c r="P2566" s="16"/>
    </row>
    <row r="2567" spans="5:16" hidden="1" x14ac:dyDescent="0.25">
      <c r="E2567" s="43">
        <f>COUNTIF($O$7:O2567,FORMULARIO!$AA$2)</f>
        <v>1</v>
      </c>
      <c r="M2567" s="46"/>
      <c r="P2567" s="16"/>
    </row>
    <row r="2568" spans="5:16" hidden="1" x14ac:dyDescent="0.25">
      <c r="E2568" s="43">
        <f>COUNTIF($O$7:O2568,FORMULARIO!$AA$2)</f>
        <v>1</v>
      </c>
      <c r="M2568" s="46"/>
      <c r="P2568" s="16"/>
    </row>
    <row r="2569" spans="5:16" hidden="1" x14ac:dyDescent="0.25">
      <c r="E2569" s="43">
        <f>COUNTIF($O$7:O2569,FORMULARIO!$AA$2)</f>
        <v>1</v>
      </c>
      <c r="M2569" s="46"/>
      <c r="P2569" s="16"/>
    </row>
    <row r="2570" spans="5:16" hidden="1" x14ac:dyDescent="0.25">
      <c r="E2570" s="43">
        <f>COUNTIF($O$7:O2570,FORMULARIO!$AA$2)</f>
        <v>1</v>
      </c>
      <c r="M2570" s="46"/>
      <c r="P2570" s="16"/>
    </row>
    <row r="2571" spans="5:16" hidden="1" x14ac:dyDescent="0.25">
      <c r="E2571" s="43">
        <f>COUNTIF($O$7:O2571,FORMULARIO!$AA$2)</f>
        <v>1</v>
      </c>
      <c r="M2571" s="46"/>
      <c r="P2571" s="16"/>
    </row>
    <row r="2572" spans="5:16" hidden="1" x14ac:dyDescent="0.25">
      <c r="E2572" s="43">
        <f>COUNTIF($O$7:O2572,FORMULARIO!$AA$2)</f>
        <v>1</v>
      </c>
      <c r="M2572" s="46"/>
      <c r="P2572" s="16"/>
    </row>
    <row r="2573" spans="5:16" hidden="1" x14ac:dyDescent="0.25">
      <c r="E2573" s="43">
        <f>COUNTIF($O$7:O2573,FORMULARIO!$AA$2)</f>
        <v>1</v>
      </c>
      <c r="M2573" s="46"/>
      <c r="P2573" s="16"/>
    </row>
    <row r="2574" spans="5:16" hidden="1" x14ac:dyDescent="0.25">
      <c r="E2574" s="43">
        <f>COUNTIF($O$7:O2574,FORMULARIO!$AA$2)</f>
        <v>1</v>
      </c>
      <c r="M2574" s="46"/>
      <c r="P2574" s="16"/>
    </row>
    <row r="2575" spans="5:16" hidden="1" x14ac:dyDescent="0.25">
      <c r="E2575" s="43">
        <f>COUNTIF($O$7:O2575,FORMULARIO!$AA$2)</f>
        <v>1</v>
      </c>
      <c r="M2575" s="46"/>
      <c r="P2575" s="16"/>
    </row>
    <row r="2576" spans="5:16" hidden="1" x14ac:dyDescent="0.25">
      <c r="E2576" s="43">
        <f>COUNTIF($O$7:O2576,FORMULARIO!$AA$2)</f>
        <v>1</v>
      </c>
      <c r="M2576" s="46"/>
      <c r="P2576" s="16"/>
    </row>
    <row r="2577" spans="5:16" hidden="1" x14ac:dyDescent="0.25">
      <c r="E2577" s="43">
        <f>COUNTIF($O$7:O2577,FORMULARIO!$AA$2)</f>
        <v>1</v>
      </c>
      <c r="M2577" s="46"/>
      <c r="P2577" s="16"/>
    </row>
    <row r="2578" spans="5:16" hidden="1" x14ac:dyDescent="0.25">
      <c r="E2578" s="43">
        <f>COUNTIF($O$7:O2578,FORMULARIO!$AA$2)</f>
        <v>1</v>
      </c>
      <c r="M2578" s="46"/>
      <c r="P2578" s="16"/>
    </row>
    <row r="2579" spans="5:16" hidden="1" x14ac:dyDescent="0.25">
      <c r="E2579" s="43">
        <f>COUNTIF($O$7:O2579,FORMULARIO!$AA$2)</f>
        <v>1</v>
      </c>
      <c r="M2579" s="46"/>
      <c r="P2579" s="16"/>
    </row>
    <row r="2580" spans="5:16" hidden="1" x14ac:dyDescent="0.25">
      <c r="E2580" s="43">
        <f>COUNTIF($O$7:O2580,FORMULARIO!$AA$2)</f>
        <v>1</v>
      </c>
      <c r="M2580" s="46"/>
      <c r="P2580" s="16"/>
    </row>
    <row r="2581" spans="5:16" hidden="1" x14ac:dyDescent="0.25">
      <c r="E2581" s="43">
        <f>COUNTIF($O$7:O2581,FORMULARIO!$AA$2)</f>
        <v>1</v>
      </c>
      <c r="M2581" s="46"/>
      <c r="P2581" s="16"/>
    </row>
    <row r="2582" spans="5:16" hidden="1" x14ac:dyDescent="0.25">
      <c r="E2582" s="43">
        <f>COUNTIF($O$7:O2582,FORMULARIO!$AA$2)</f>
        <v>1</v>
      </c>
      <c r="M2582" s="46"/>
      <c r="P2582" s="16"/>
    </row>
    <row r="2583" spans="5:16" hidden="1" x14ac:dyDescent="0.25">
      <c r="E2583" s="43">
        <f>COUNTIF($O$7:O2583,FORMULARIO!$AA$2)</f>
        <v>1</v>
      </c>
      <c r="M2583" s="46"/>
      <c r="P2583" s="16"/>
    </row>
    <row r="2584" spans="5:16" hidden="1" x14ac:dyDescent="0.25">
      <c r="E2584" s="43">
        <f>COUNTIF($O$7:O2584,FORMULARIO!$AA$2)</f>
        <v>1</v>
      </c>
      <c r="M2584" s="46"/>
      <c r="P2584" s="16"/>
    </row>
    <row r="2585" spans="5:16" hidden="1" x14ac:dyDescent="0.25">
      <c r="E2585" s="43">
        <f>COUNTIF($O$7:O2585,FORMULARIO!$AA$2)</f>
        <v>1</v>
      </c>
      <c r="M2585" s="46"/>
      <c r="P2585" s="16"/>
    </row>
    <row r="2586" spans="5:16" hidden="1" x14ac:dyDescent="0.25">
      <c r="E2586" s="43">
        <f>COUNTIF($O$7:O2586,FORMULARIO!$AA$2)</f>
        <v>1</v>
      </c>
      <c r="M2586" s="46"/>
      <c r="P2586" s="16"/>
    </row>
    <row r="2587" spans="5:16" hidden="1" x14ac:dyDescent="0.25">
      <c r="E2587" s="43">
        <f>COUNTIF($O$7:O2587,FORMULARIO!$AA$2)</f>
        <v>1</v>
      </c>
      <c r="M2587" s="46"/>
      <c r="P2587" s="16"/>
    </row>
    <row r="2588" spans="5:16" hidden="1" x14ac:dyDescent="0.25">
      <c r="E2588" s="43">
        <f>COUNTIF($O$7:O2588,FORMULARIO!$AA$2)</f>
        <v>1</v>
      </c>
      <c r="M2588" s="46"/>
      <c r="P2588" s="16"/>
    </row>
    <row r="2589" spans="5:16" hidden="1" x14ac:dyDescent="0.25">
      <c r="E2589" s="43">
        <f>COUNTIF($O$7:O2589,FORMULARIO!$AA$2)</f>
        <v>1</v>
      </c>
      <c r="M2589" s="46"/>
      <c r="P2589" s="16"/>
    </row>
    <row r="2590" spans="5:16" hidden="1" x14ac:dyDescent="0.25">
      <c r="E2590" s="43">
        <f>COUNTIF($O$7:O2590,FORMULARIO!$AA$2)</f>
        <v>1</v>
      </c>
      <c r="M2590" s="46"/>
      <c r="P2590" s="16"/>
    </row>
    <row r="2591" spans="5:16" hidden="1" x14ac:dyDescent="0.25">
      <c r="E2591" s="43">
        <f>COUNTIF($O$7:O2591,FORMULARIO!$AA$2)</f>
        <v>1</v>
      </c>
      <c r="M2591" s="46"/>
      <c r="P2591" s="16"/>
    </row>
    <row r="2592" spans="5:16" hidden="1" x14ac:dyDescent="0.25">
      <c r="E2592" s="43">
        <f>COUNTIF($O$7:O2592,FORMULARIO!$AA$2)</f>
        <v>1</v>
      </c>
      <c r="M2592" s="46"/>
      <c r="P2592" s="16"/>
    </row>
    <row r="2593" spans="5:16" hidden="1" x14ac:dyDescent="0.25">
      <c r="E2593" s="43">
        <f>COUNTIF($O$7:O2593,FORMULARIO!$AA$2)</f>
        <v>1</v>
      </c>
      <c r="M2593" s="46"/>
      <c r="P2593" s="16"/>
    </row>
    <row r="2594" spans="5:16" hidden="1" x14ac:dyDescent="0.25">
      <c r="E2594" s="43">
        <f>COUNTIF($O$7:O2594,FORMULARIO!$AA$2)</f>
        <v>1</v>
      </c>
      <c r="M2594" s="46"/>
      <c r="P2594" s="16"/>
    </row>
    <row r="2595" spans="5:16" hidden="1" x14ac:dyDescent="0.25">
      <c r="E2595" s="43">
        <f>COUNTIF($O$7:O2595,FORMULARIO!$AA$2)</f>
        <v>1</v>
      </c>
      <c r="M2595" s="46"/>
      <c r="P2595" s="16"/>
    </row>
    <row r="2596" spans="5:16" hidden="1" x14ac:dyDescent="0.25">
      <c r="E2596" s="43">
        <f>COUNTIF($O$7:O2596,FORMULARIO!$AA$2)</f>
        <v>1</v>
      </c>
      <c r="M2596" s="46"/>
      <c r="P2596" s="16"/>
    </row>
    <row r="2597" spans="5:16" hidden="1" x14ac:dyDescent="0.25">
      <c r="E2597" s="43">
        <f>COUNTIF($O$7:O2597,FORMULARIO!$AA$2)</f>
        <v>1</v>
      </c>
      <c r="M2597" s="46"/>
      <c r="P2597" s="16"/>
    </row>
    <row r="2598" spans="5:16" hidden="1" x14ac:dyDescent="0.25">
      <c r="E2598" s="43">
        <f>COUNTIF($O$7:O2598,FORMULARIO!$AA$2)</f>
        <v>1</v>
      </c>
      <c r="M2598" s="46"/>
      <c r="P2598" s="16"/>
    </row>
    <row r="2599" spans="5:16" hidden="1" x14ac:dyDescent="0.25">
      <c r="E2599" s="43">
        <f>COUNTIF($O$7:O2599,FORMULARIO!$AA$2)</f>
        <v>1</v>
      </c>
      <c r="M2599" s="46"/>
      <c r="P2599" s="16"/>
    </row>
    <row r="2600" spans="5:16" hidden="1" x14ac:dyDescent="0.25">
      <c r="E2600" s="43">
        <f>COUNTIF($O$7:O2600,FORMULARIO!$AA$2)</f>
        <v>1</v>
      </c>
      <c r="M2600" s="46"/>
      <c r="P2600" s="16"/>
    </row>
    <row r="2601" spans="5:16" hidden="1" x14ac:dyDescent="0.25">
      <c r="E2601" s="43">
        <f>COUNTIF($O$7:O2601,FORMULARIO!$AA$2)</f>
        <v>1</v>
      </c>
      <c r="M2601" s="46"/>
      <c r="P2601" s="16"/>
    </row>
    <row r="2602" spans="5:16" hidden="1" x14ac:dyDescent="0.25">
      <c r="E2602" s="43">
        <f>COUNTIF($O$7:O2602,FORMULARIO!$AA$2)</f>
        <v>1</v>
      </c>
      <c r="M2602" s="46"/>
      <c r="P2602" s="16"/>
    </row>
    <row r="2603" spans="5:16" hidden="1" x14ac:dyDescent="0.25">
      <c r="E2603" s="43">
        <f>COUNTIF($O$7:O2603,FORMULARIO!$AA$2)</f>
        <v>1</v>
      </c>
      <c r="M2603" s="46"/>
      <c r="P2603" s="16"/>
    </row>
    <row r="2604" spans="5:16" hidden="1" x14ac:dyDescent="0.25">
      <c r="E2604" s="43">
        <f>COUNTIF($O$7:O2604,FORMULARIO!$AA$2)</f>
        <v>1</v>
      </c>
      <c r="M2604" s="46"/>
      <c r="P2604" s="16"/>
    </row>
    <row r="2605" spans="5:16" hidden="1" x14ac:dyDescent="0.25">
      <c r="E2605" s="43">
        <f>COUNTIF($O$7:O2605,FORMULARIO!$AA$2)</f>
        <v>1</v>
      </c>
      <c r="M2605" s="46"/>
      <c r="P2605" s="16"/>
    </row>
    <row r="2606" spans="5:16" hidden="1" x14ac:dyDescent="0.25">
      <c r="E2606" s="43">
        <f>COUNTIF($O$7:O2606,FORMULARIO!$AA$2)</f>
        <v>1</v>
      </c>
      <c r="M2606" s="46"/>
      <c r="P2606" s="16"/>
    </row>
    <row r="2607" spans="5:16" hidden="1" x14ac:dyDescent="0.25">
      <c r="E2607" s="43">
        <f>COUNTIF($O$7:O2607,FORMULARIO!$AA$2)</f>
        <v>1</v>
      </c>
      <c r="M2607" s="46"/>
      <c r="P2607" s="16"/>
    </row>
    <row r="2608" spans="5:16" hidden="1" x14ac:dyDescent="0.25">
      <c r="E2608" s="43">
        <f>COUNTIF($O$7:O2608,FORMULARIO!$AA$2)</f>
        <v>1</v>
      </c>
      <c r="M2608" s="46"/>
      <c r="P2608" s="16"/>
    </row>
    <row r="2609" spans="5:16" hidden="1" x14ac:dyDescent="0.25">
      <c r="E2609" s="43">
        <f>COUNTIF($O$7:O2609,FORMULARIO!$AA$2)</f>
        <v>1</v>
      </c>
      <c r="M2609" s="46"/>
      <c r="P2609" s="16"/>
    </row>
    <row r="2610" spans="5:16" hidden="1" x14ac:dyDescent="0.25">
      <c r="E2610" s="43">
        <f>COUNTIF($O$7:O2610,FORMULARIO!$AA$2)</f>
        <v>1</v>
      </c>
      <c r="M2610" s="46"/>
      <c r="P2610" s="16"/>
    </row>
    <row r="2611" spans="5:16" hidden="1" x14ac:dyDescent="0.25">
      <c r="E2611" s="43">
        <f>COUNTIF($O$7:O2611,FORMULARIO!$AA$2)</f>
        <v>1</v>
      </c>
      <c r="M2611" s="46"/>
      <c r="P2611" s="16"/>
    </row>
    <row r="2612" spans="5:16" hidden="1" x14ac:dyDescent="0.25">
      <c r="E2612" s="43">
        <f>COUNTIF($O$7:O2612,FORMULARIO!$AA$2)</f>
        <v>1</v>
      </c>
      <c r="M2612" s="46"/>
      <c r="P2612" s="16"/>
    </row>
    <row r="2613" spans="5:16" hidden="1" x14ac:dyDescent="0.25">
      <c r="E2613" s="43">
        <f>COUNTIF($O$7:O2613,FORMULARIO!$AA$2)</f>
        <v>1</v>
      </c>
      <c r="M2613" s="46"/>
      <c r="P2613" s="16"/>
    </row>
    <row r="2614" spans="5:16" hidden="1" x14ac:dyDescent="0.25">
      <c r="E2614" s="43">
        <f>COUNTIF($O$7:O2614,FORMULARIO!$AA$2)</f>
        <v>1</v>
      </c>
      <c r="M2614" s="46"/>
      <c r="P2614" s="16"/>
    </row>
    <row r="2615" spans="5:16" hidden="1" x14ac:dyDescent="0.25">
      <c r="E2615" s="43">
        <f>COUNTIF($O$7:O2615,FORMULARIO!$AA$2)</f>
        <v>1</v>
      </c>
      <c r="M2615" s="46"/>
      <c r="P2615" s="16"/>
    </row>
    <row r="2616" spans="5:16" hidden="1" x14ac:dyDescent="0.25">
      <c r="E2616" s="43">
        <f>COUNTIF($O$7:O2616,FORMULARIO!$AA$2)</f>
        <v>1</v>
      </c>
      <c r="M2616" s="46"/>
      <c r="P2616" s="16"/>
    </row>
    <row r="2617" spans="5:16" hidden="1" x14ac:dyDescent="0.25">
      <c r="E2617" s="43">
        <f>COUNTIF($O$7:O2617,FORMULARIO!$AA$2)</f>
        <v>1</v>
      </c>
      <c r="M2617" s="46"/>
      <c r="P2617" s="16"/>
    </row>
    <row r="2618" spans="5:16" hidden="1" x14ac:dyDescent="0.25">
      <c r="E2618" s="43">
        <f>COUNTIF($O$7:O2618,FORMULARIO!$AA$2)</f>
        <v>1</v>
      </c>
      <c r="M2618" s="46"/>
      <c r="P2618" s="16"/>
    </row>
    <row r="2619" spans="5:16" hidden="1" x14ac:dyDescent="0.25">
      <c r="E2619" s="43">
        <f>COUNTIF($O$7:O2619,FORMULARIO!$AA$2)</f>
        <v>1</v>
      </c>
      <c r="M2619" s="46"/>
      <c r="P2619" s="16"/>
    </row>
    <row r="2620" spans="5:16" hidden="1" x14ac:dyDescent="0.25">
      <c r="E2620" s="43">
        <f>COUNTIF($O$7:O2620,FORMULARIO!$AA$2)</f>
        <v>1</v>
      </c>
      <c r="M2620" s="46"/>
      <c r="P2620" s="16"/>
    </row>
    <row r="2621" spans="5:16" hidden="1" x14ac:dyDescent="0.25">
      <c r="E2621" s="43">
        <f>COUNTIF($O$7:O2621,FORMULARIO!$AA$2)</f>
        <v>1</v>
      </c>
      <c r="M2621" s="46"/>
      <c r="P2621" s="16"/>
    </row>
    <row r="2622" spans="5:16" hidden="1" x14ac:dyDescent="0.25">
      <c r="E2622" s="43">
        <f>COUNTIF($O$7:O2622,FORMULARIO!$AA$2)</f>
        <v>1</v>
      </c>
      <c r="M2622" s="46"/>
      <c r="P2622" s="16"/>
    </row>
    <row r="2623" spans="5:16" hidden="1" x14ac:dyDescent="0.25">
      <c r="E2623" s="43">
        <f>COUNTIF($O$7:O2623,FORMULARIO!$AA$2)</f>
        <v>1</v>
      </c>
      <c r="M2623" s="46"/>
      <c r="P2623" s="16"/>
    </row>
    <row r="2624" spans="5:16" hidden="1" x14ac:dyDescent="0.25">
      <c r="E2624" s="43">
        <f>COUNTIF($O$7:O2624,FORMULARIO!$AA$2)</f>
        <v>1</v>
      </c>
      <c r="M2624" s="46"/>
      <c r="P2624" s="16"/>
    </row>
    <row r="2625" spans="5:16" hidden="1" x14ac:dyDescent="0.25">
      <c r="E2625" s="43">
        <f>COUNTIF($O$7:O2625,FORMULARIO!$AA$2)</f>
        <v>1</v>
      </c>
      <c r="M2625" s="46"/>
      <c r="P2625" s="16"/>
    </row>
    <row r="2626" spans="5:16" hidden="1" x14ac:dyDescent="0.25">
      <c r="E2626" s="43">
        <f>COUNTIF($O$7:O2626,FORMULARIO!$AA$2)</f>
        <v>1</v>
      </c>
      <c r="M2626" s="46"/>
      <c r="P2626" s="16"/>
    </row>
    <row r="2627" spans="5:16" hidden="1" x14ac:dyDescent="0.25">
      <c r="E2627" s="43">
        <f>COUNTIF($O$7:O2627,FORMULARIO!$AA$2)</f>
        <v>1</v>
      </c>
      <c r="M2627" s="46"/>
      <c r="P2627" s="16"/>
    </row>
    <row r="2628" spans="5:16" hidden="1" x14ac:dyDescent="0.25">
      <c r="E2628" s="43">
        <f>COUNTIF($O$7:O2628,FORMULARIO!$AA$2)</f>
        <v>1</v>
      </c>
      <c r="M2628" s="46"/>
      <c r="P2628" s="16"/>
    </row>
    <row r="2629" spans="5:16" hidden="1" x14ac:dyDescent="0.25">
      <c r="E2629" s="43">
        <f>COUNTIF($O$7:O2629,FORMULARIO!$AA$2)</f>
        <v>1</v>
      </c>
      <c r="M2629" s="46"/>
      <c r="P2629" s="16"/>
    </row>
    <row r="2630" spans="5:16" hidden="1" x14ac:dyDescent="0.25">
      <c r="E2630" s="43">
        <f>COUNTIF($O$7:O2630,FORMULARIO!$AA$2)</f>
        <v>1</v>
      </c>
      <c r="M2630" s="46"/>
      <c r="P2630" s="16"/>
    </row>
    <row r="2631" spans="5:16" hidden="1" x14ac:dyDescent="0.25">
      <c r="E2631" s="43">
        <f>COUNTIF($O$7:O2631,FORMULARIO!$AA$2)</f>
        <v>1</v>
      </c>
      <c r="M2631" s="46"/>
      <c r="P2631" s="16"/>
    </row>
    <row r="2632" spans="5:16" hidden="1" x14ac:dyDescent="0.25">
      <c r="E2632" s="43">
        <f>COUNTIF($O$7:O2632,FORMULARIO!$AA$2)</f>
        <v>1</v>
      </c>
      <c r="M2632" s="46"/>
      <c r="P2632" s="16"/>
    </row>
    <row r="2633" spans="5:16" hidden="1" x14ac:dyDescent="0.25">
      <c r="E2633" s="43">
        <f>COUNTIF($O$7:O2633,FORMULARIO!$AA$2)</f>
        <v>1</v>
      </c>
      <c r="M2633" s="46"/>
      <c r="P2633" s="16"/>
    </row>
    <row r="2634" spans="5:16" hidden="1" x14ac:dyDescent="0.25">
      <c r="E2634" s="43">
        <f>COUNTIF($O$7:O2634,FORMULARIO!$AA$2)</f>
        <v>1</v>
      </c>
      <c r="M2634" s="46"/>
      <c r="P2634" s="16"/>
    </row>
    <row r="2635" spans="5:16" hidden="1" x14ac:dyDescent="0.25">
      <c r="E2635" s="43">
        <f>COUNTIF($O$7:O2635,FORMULARIO!$AA$2)</f>
        <v>1</v>
      </c>
      <c r="M2635" s="46"/>
      <c r="P2635" s="16"/>
    </row>
    <row r="2636" spans="5:16" hidden="1" x14ac:dyDescent="0.25">
      <c r="E2636" s="43">
        <f>COUNTIF($O$7:O2636,FORMULARIO!$AA$2)</f>
        <v>1</v>
      </c>
      <c r="M2636" s="46"/>
      <c r="P2636" s="16"/>
    </row>
    <row r="2637" spans="5:16" hidden="1" x14ac:dyDescent="0.25">
      <c r="E2637" s="43">
        <f>COUNTIF($O$7:O2637,FORMULARIO!$AA$2)</f>
        <v>1</v>
      </c>
      <c r="M2637" s="46"/>
      <c r="P2637" s="16"/>
    </row>
    <row r="2638" spans="5:16" hidden="1" x14ac:dyDescent="0.25">
      <c r="E2638" s="43">
        <f>COUNTIF($O$7:O2638,FORMULARIO!$AA$2)</f>
        <v>1</v>
      </c>
      <c r="M2638" s="46"/>
      <c r="P2638" s="16"/>
    </row>
    <row r="2639" spans="5:16" hidden="1" x14ac:dyDescent="0.25">
      <c r="E2639" s="43">
        <f>COUNTIF($O$7:O2639,FORMULARIO!$AA$2)</f>
        <v>1</v>
      </c>
      <c r="M2639" s="46"/>
      <c r="P2639" s="16"/>
    </row>
    <row r="2640" spans="5:16" hidden="1" x14ac:dyDescent="0.25">
      <c r="E2640" s="43">
        <f>COUNTIF($O$7:O2640,FORMULARIO!$AA$2)</f>
        <v>1</v>
      </c>
      <c r="M2640" s="46"/>
      <c r="P2640" s="16"/>
    </row>
    <row r="2641" spans="5:16" hidden="1" x14ac:dyDescent="0.25">
      <c r="E2641" s="43">
        <f>COUNTIF($O$7:O2641,FORMULARIO!$AA$2)</f>
        <v>1</v>
      </c>
      <c r="M2641" s="46"/>
      <c r="P2641" s="16"/>
    </row>
    <row r="2642" spans="5:16" hidden="1" x14ac:dyDescent="0.25">
      <c r="E2642" s="43">
        <f>COUNTIF($O$7:O2642,FORMULARIO!$AA$2)</f>
        <v>1</v>
      </c>
      <c r="M2642" s="46"/>
      <c r="P2642" s="16"/>
    </row>
    <row r="2643" spans="5:16" hidden="1" x14ac:dyDescent="0.25">
      <c r="E2643" s="43">
        <f>COUNTIF($O$7:O2643,FORMULARIO!$AA$2)</f>
        <v>1</v>
      </c>
      <c r="M2643" s="46"/>
      <c r="P2643" s="16"/>
    </row>
    <row r="2644" spans="5:16" hidden="1" x14ac:dyDescent="0.25">
      <c r="E2644" s="43">
        <f>COUNTIF($O$7:O2644,FORMULARIO!$AA$2)</f>
        <v>1</v>
      </c>
      <c r="M2644" s="46"/>
      <c r="P2644" s="16"/>
    </row>
    <row r="2645" spans="5:16" hidden="1" x14ac:dyDescent="0.25">
      <c r="E2645" s="43">
        <f>COUNTIF($O$7:O2645,FORMULARIO!$AA$2)</f>
        <v>1</v>
      </c>
      <c r="M2645" s="46"/>
      <c r="P2645" s="16"/>
    </row>
    <row r="2646" spans="5:16" hidden="1" x14ac:dyDescent="0.25">
      <c r="E2646" s="43">
        <f>COUNTIF($O$7:O2646,FORMULARIO!$AA$2)</f>
        <v>1</v>
      </c>
      <c r="M2646" s="46"/>
      <c r="P2646" s="16"/>
    </row>
    <row r="2647" spans="5:16" hidden="1" x14ac:dyDescent="0.25">
      <c r="E2647" s="43">
        <f>COUNTIF($O$7:O2647,FORMULARIO!$AA$2)</f>
        <v>1</v>
      </c>
      <c r="M2647" s="46"/>
      <c r="P2647" s="16"/>
    </row>
    <row r="2648" spans="5:16" hidden="1" x14ac:dyDescent="0.25">
      <c r="E2648" s="43">
        <f>COUNTIF($O$7:O2648,FORMULARIO!$AA$2)</f>
        <v>1</v>
      </c>
      <c r="M2648" s="46"/>
      <c r="P2648" s="16"/>
    </row>
    <row r="2649" spans="5:16" hidden="1" x14ac:dyDescent="0.25">
      <c r="E2649" s="43">
        <f>COUNTIF($O$7:O2649,FORMULARIO!$AA$2)</f>
        <v>1</v>
      </c>
      <c r="M2649" s="46"/>
      <c r="P2649" s="16"/>
    </row>
    <row r="2650" spans="5:16" hidden="1" x14ac:dyDescent="0.25">
      <c r="E2650" s="43">
        <f>COUNTIF($O$7:O2650,FORMULARIO!$AA$2)</f>
        <v>1</v>
      </c>
      <c r="M2650" s="46"/>
      <c r="P2650" s="16"/>
    </row>
    <row r="2651" spans="5:16" hidden="1" x14ac:dyDescent="0.25">
      <c r="E2651" s="43">
        <f>COUNTIF($O$7:O2651,FORMULARIO!$AA$2)</f>
        <v>1</v>
      </c>
      <c r="M2651" s="46"/>
      <c r="P2651" s="16"/>
    </row>
    <row r="2652" spans="5:16" hidden="1" x14ac:dyDescent="0.25">
      <c r="E2652" s="43">
        <f>COUNTIF($O$7:O2652,FORMULARIO!$AA$2)</f>
        <v>1</v>
      </c>
      <c r="M2652" s="46"/>
      <c r="P2652" s="16"/>
    </row>
    <row r="2653" spans="5:16" hidden="1" x14ac:dyDescent="0.25">
      <c r="E2653" s="43">
        <f>COUNTIF($O$7:O2653,FORMULARIO!$AA$2)</f>
        <v>1</v>
      </c>
      <c r="M2653" s="46"/>
      <c r="P2653" s="16"/>
    </row>
    <row r="2654" spans="5:16" hidden="1" x14ac:dyDescent="0.25">
      <c r="E2654" s="43">
        <f>COUNTIF($O$7:O2654,FORMULARIO!$AA$2)</f>
        <v>1</v>
      </c>
      <c r="M2654" s="46"/>
      <c r="P2654" s="16"/>
    </row>
    <row r="2655" spans="5:16" hidden="1" x14ac:dyDescent="0.25">
      <c r="E2655" s="43">
        <f>COUNTIF($O$7:O2655,FORMULARIO!$AA$2)</f>
        <v>1</v>
      </c>
      <c r="M2655" s="46"/>
      <c r="P2655" s="16"/>
    </row>
    <row r="2656" spans="5:16" hidden="1" x14ac:dyDescent="0.25">
      <c r="E2656" s="43">
        <f>COUNTIF($O$7:O2656,FORMULARIO!$AA$2)</f>
        <v>1</v>
      </c>
      <c r="M2656" s="46"/>
      <c r="P2656" s="16"/>
    </row>
    <row r="2657" spans="5:16" hidden="1" x14ac:dyDescent="0.25">
      <c r="E2657" s="43">
        <f>COUNTIF($O$7:O2657,FORMULARIO!$AA$2)</f>
        <v>1</v>
      </c>
      <c r="M2657" s="46"/>
      <c r="P2657" s="16"/>
    </row>
    <row r="2658" spans="5:16" hidden="1" x14ac:dyDescent="0.25">
      <c r="E2658" s="43">
        <f>COUNTIF($O$7:O2658,FORMULARIO!$AA$2)</f>
        <v>1</v>
      </c>
      <c r="M2658" s="46"/>
      <c r="P2658" s="16"/>
    </row>
    <row r="2659" spans="5:16" hidden="1" x14ac:dyDescent="0.25">
      <c r="E2659" s="43">
        <f>COUNTIF($O$7:O2659,FORMULARIO!$AA$2)</f>
        <v>1</v>
      </c>
      <c r="M2659" s="46"/>
      <c r="P2659" s="16"/>
    </row>
    <row r="2660" spans="5:16" hidden="1" x14ac:dyDescent="0.25">
      <c r="E2660" s="43">
        <f>COUNTIF($O$7:O2660,FORMULARIO!$AA$2)</f>
        <v>1</v>
      </c>
      <c r="M2660" s="46"/>
      <c r="P2660" s="16"/>
    </row>
    <row r="2661" spans="5:16" hidden="1" x14ac:dyDescent="0.25">
      <c r="E2661" s="43">
        <f>COUNTIF($O$7:O2661,FORMULARIO!$AA$2)</f>
        <v>1</v>
      </c>
      <c r="M2661" s="46"/>
      <c r="P2661" s="16"/>
    </row>
    <row r="2662" spans="5:16" hidden="1" x14ac:dyDescent="0.25">
      <c r="E2662" s="43">
        <f>COUNTIF($O$7:O2662,FORMULARIO!$AA$2)</f>
        <v>1</v>
      </c>
      <c r="M2662" s="46"/>
      <c r="P2662" s="16"/>
    </row>
    <row r="2663" spans="5:16" hidden="1" x14ac:dyDescent="0.25">
      <c r="E2663" s="43">
        <f>COUNTIF($O$7:O2663,FORMULARIO!$AA$2)</f>
        <v>1</v>
      </c>
      <c r="M2663" s="46"/>
      <c r="P2663" s="16"/>
    </row>
    <row r="2664" spans="5:16" hidden="1" x14ac:dyDescent="0.25">
      <c r="E2664" s="43">
        <f>COUNTIF($O$7:O2664,FORMULARIO!$AA$2)</f>
        <v>1</v>
      </c>
      <c r="M2664" s="46"/>
      <c r="P2664" s="16"/>
    </row>
    <row r="2665" spans="5:16" hidden="1" x14ac:dyDescent="0.25">
      <c r="E2665" s="43">
        <f>COUNTIF($O$7:O2665,FORMULARIO!$AA$2)</f>
        <v>1</v>
      </c>
      <c r="M2665" s="46"/>
      <c r="P2665" s="16"/>
    </row>
    <row r="2666" spans="5:16" hidden="1" x14ac:dyDescent="0.25">
      <c r="E2666" s="43">
        <f>COUNTIF($O$7:O2666,FORMULARIO!$AA$2)</f>
        <v>1</v>
      </c>
      <c r="M2666" s="46"/>
      <c r="P2666" s="16"/>
    </row>
    <row r="2667" spans="5:16" hidden="1" x14ac:dyDescent="0.25">
      <c r="E2667" s="43">
        <f>COUNTIF($O$7:O2667,FORMULARIO!$AA$2)</f>
        <v>1</v>
      </c>
      <c r="M2667" s="46"/>
      <c r="P2667" s="16"/>
    </row>
    <row r="2668" spans="5:16" hidden="1" x14ac:dyDescent="0.25">
      <c r="E2668" s="43">
        <f>COUNTIF($O$7:O2668,FORMULARIO!$AA$2)</f>
        <v>1</v>
      </c>
      <c r="M2668" s="46"/>
      <c r="P2668" s="16"/>
    </row>
    <row r="2669" spans="5:16" hidden="1" x14ac:dyDescent="0.25">
      <c r="E2669" s="43">
        <f>COUNTIF($O$7:O2669,FORMULARIO!$AA$2)</f>
        <v>1</v>
      </c>
      <c r="M2669" s="46"/>
      <c r="P2669" s="16"/>
    </row>
    <row r="2670" spans="5:16" hidden="1" x14ac:dyDescent="0.25">
      <c r="E2670" s="43">
        <f>COUNTIF($O$7:O2670,FORMULARIO!$AA$2)</f>
        <v>1</v>
      </c>
      <c r="M2670" s="46"/>
      <c r="P2670" s="16"/>
    </row>
    <row r="2671" spans="5:16" hidden="1" x14ac:dyDescent="0.25">
      <c r="E2671" s="43">
        <f>COUNTIF($O$7:O2671,FORMULARIO!$AA$2)</f>
        <v>1</v>
      </c>
      <c r="M2671" s="46"/>
      <c r="P2671" s="16"/>
    </row>
    <row r="2672" spans="5:16" hidden="1" x14ac:dyDescent="0.25">
      <c r="E2672" s="43">
        <f>COUNTIF($O$7:O2672,FORMULARIO!$AA$2)</f>
        <v>1</v>
      </c>
      <c r="M2672" s="46"/>
      <c r="P2672" s="16"/>
    </row>
    <row r="2673" spans="5:16" hidden="1" x14ac:dyDescent="0.25">
      <c r="E2673" s="43">
        <f>COUNTIF($O$7:O2673,FORMULARIO!$AA$2)</f>
        <v>1</v>
      </c>
      <c r="M2673" s="46"/>
      <c r="P2673" s="16"/>
    </row>
    <row r="2674" spans="5:16" hidden="1" x14ac:dyDescent="0.25">
      <c r="E2674" s="43">
        <f>COUNTIF($O$7:O2674,FORMULARIO!$AA$2)</f>
        <v>1</v>
      </c>
      <c r="M2674" s="46"/>
      <c r="P2674" s="16"/>
    </row>
    <row r="2675" spans="5:16" hidden="1" x14ac:dyDescent="0.25">
      <c r="E2675" s="43">
        <f>COUNTIF($O$7:O2675,FORMULARIO!$AA$2)</f>
        <v>1</v>
      </c>
      <c r="M2675" s="46"/>
      <c r="P2675" s="16"/>
    </row>
    <row r="2676" spans="5:16" hidden="1" x14ac:dyDescent="0.25">
      <c r="E2676" s="43">
        <f>COUNTIF($O$7:O2676,FORMULARIO!$AA$2)</f>
        <v>1</v>
      </c>
      <c r="M2676" s="46"/>
      <c r="P2676" s="16"/>
    </row>
    <row r="2677" spans="5:16" hidden="1" x14ac:dyDescent="0.25">
      <c r="E2677" s="43">
        <f>COUNTIF($O$7:O2677,FORMULARIO!$AA$2)</f>
        <v>1</v>
      </c>
      <c r="M2677" s="46"/>
      <c r="P2677" s="16"/>
    </row>
    <row r="2678" spans="5:16" hidden="1" x14ac:dyDescent="0.25">
      <c r="E2678" s="43">
        <f>COUNTIF($O$7:O2678,FORMULARIO!$AA$2)</f>
        <v>1</v>
      </c>
      <c r="M2678" s="46"/>
      <c r="P2678" s="16"/>
    </row>
    <row r="2679" spans="5:16" hidden="1" x14ac:dyDescent="0.25">
      <c r="E2679" s="43">
        <f>COUNTIF($O$7:O2679,FORMULARIO!$AA$2)</f>
        <v>1</v>
      </c>
      <c r="M2679" s="46"/>
      <c r="P2679" s="16"/>
    </row>
    <row r="2680" spans="5:16" hidden="1" x14ac:dyDescent="0.25">
      <c r="E2680" s="43">
        <f>COUNTIF($O$7:O2680,FORMULARIO!$AA$2)</f>
        <v>1</v>
      </c>
      <c r="M2680" s="46"/>
      <c r="P2680" s="16"/>
    </row>
    <row r="2681" spans="5:16" hidden="1" x14ac:dyDescent="0.25">
      <c r="E2681" s="43">
        <f>COUNTIF($O$7:O2681,FORMULARIO!$AA$2)</f>
        <v>1</v>
      </c>
      <c r="M2681" s="46"/>
      <c r="P2681" s="16"/>
    </row>
    <row r="2682" spans="5:16" hidden="1" x14ac:dyDescent="0.25">
      <c r="E2682" s="43">
        <f>COUNTIF($O$7:O2682,FORMULARIO!$AA$2)</f>
        <v>1</v>
      </c>
      <c r="M2682" s="46"/>
      <c r="P2682" s="16"/>
    </row>
    <row r="2683" spans="5:16" hidden="1" x14ac:dyDescent="0.25">
      <c r="E2683" s="43">
        <f>COUNTIF($O$7:O2683,FORMULARIO!$AA$2)</f>
        <v>1</v>
      </c>
      <c r="M2683" s="46"/>
      <c r="P2683" s="16"/>
    </row>
    <row r="2684" spans="5:16" hidden="1" x14ac:dyDescent="0.25">
      <c r="E2684" s="43">
        <f>COUNTIF($O$7:O2684,FORMULARIO!$AA$2)</f>
        <v>1</v>
      </c>
      <c r="M2684" s="46"/>
      <c r="P2684" s="16"/>
    </row>
    <row r="2685" spans="5:16" hidden="1" x14ac:dyDescent="0.25">
      <c r="E2685" s="43">
        <f>COUNTIF($O$7:O2685,FORMULARIO!$AA$2)</f>
        <v>1</v>
      </c>
      <c r="M2685" s="46"/>
      <c r="P2685" s="16"/>
    </row>
    <row r="2686" spans="5:16" hidden="1" x14ac:dyDescent="0.25">
      <c r="E2686" s="43">
        <f>COUNTIF($O$7:O2686,FORMULARIO!$AA$2)</f>
        <v>1</v>
      </c>
      <c r="M2686" s="46"/>
      <c r="P2686" s="16"/>
    </row>
    <row r="2687" spans="5:16" hidden="1" x14ac:dyDescent="0.25">
      <c r="E2687" s="43">
        <f>COUNTIF($O$7:O2687,FORMULARIO!$AA$2)</f>
        <v>1</v>
      </c>
      <c r="M2687" s="46"/>
      <c r="P2687" s="16"/>
    </row>
    <row r="2688" spans="5:16" hidden="1" x14ac:dyDescent="0.25">
      <c r="E2688" s="43">
        <f>COUNTIF($O$7:O2688,FORMULARIO!$AA$2)</f>
        <v>1</v>
      </c>
      <c r="M2688" s="46"/>
      <c r="P2688" s="16"/>
    </row>
    <row r="2689" spans="5:16" hidden="1" x14ac:dyDescent="0.25">
      <c r="E2689" s="43">
        <f>COUNTIF($O$7:O2689,FORMULARIO!$AA$2)</f>
        <v>1</v>
      </c>
      <c r="M2689" s="46"/>
      <c r="P2689" s="16"/>
    </row>
    <row r="2690" spans="5:16" hidden="1" x14ac:dyDescent="0.25">
      <c r="E2690" s="43">
        <f>COUNTIF($O$7:O2690,FORMULARIO!$AA$2)</f>
        <v>1</v>
      </c>
      <c r="M2690" s="46"/>
      <c r="P2690" s="16"/>
    </row>
    <row r="2691" spans="5:16" hidden="1" x14ac:dyDescent="0.25">
      <c r="E2691" s="43">
        <f>COUNTIF($O$7:O2691,FORMULARIO!$AA$2)</f>
        <v>1</v>
      </c>
      <c r="M2691" s="46"/>
      <c r="P2691" s="16"/>
    </row>
    <row r="2692" spans="5:16" hidden="1" x14ac:dyDescent="0.25">
      <c r="E2692" s="43">
        <f>COUNTIF($O$7:O2692,FORMULARIO!$AA$2)</f>
        <v>1</v>
      </c>
      <c r="M2692" s="46"/>
      <c r="P2692" s="16"/>
    </row>
    <row r="2693" spans="5:16" hidden="1" x14ac:dyDescent="0.25">
      <c r="E2693" s="43">
        <f>COUNTIF($O$7:O2693,FORMULARIO!$AA$2)</f>
        <v>1</v>
      </c>
      <c r="M2693" s="46"/>
      <c r="P2693" s="16"/>
    </row>
    <row r="2694" spans="5:16" hidden="1" x14ac:dyDescent="0.25">
      <c r="E2694" s="43">
        <f>COUNTIF($O$7:O2694,FORMULARIO!$AA$2)</f>
        <v>1</v>
      </c>
      <c r="M2694" s="46"/>
      <c r="P2694" s="16"/>
    </row>
    <row r="2695" spans="5:16" hidden="1" x14ac:dyDescent="0.25">
      <c r="E2695" s="43">
        <f>COUNTIF($O$7:O2695,FORMULARIO!$AA$2)</f>
        <v>1</v>
      </c>
      <c r="M2695" s="46"/>
      <c r="P2695" s="16"/>
    </row>
    <row r="2696" spans="5:16" hidden="1" x14ac:dyDescent="0.25">
      <c r="E2696" s="43">
        <f>COUNTIF($O$7:O2696,FORMULARIO!$AA$2)</f>
        <v>1</v>
      </c>
      <c r="M2696" s="46"/>
      <c r="P2696" s="16"/>
    </row>
    <row r="2697" spans="5:16" hidden="1" x14ac:dyDescent="0.25">
      <c r="E2697" s="43">
        <f>COUNTIF($O$7:O2697,FORMULARIO!$AA$2)</f>
        <v>1</v>
      </c>
      <c r="M2697" s="46"/>
      <c r="P2697" s="16"/>
    </row>
    <row r="2698" spans="5:16" hidden="1" x14ac:dyDescent="0.25">
      <c r="E2698" s="43">
        <f>COUNTIF($O$7:O2698,FORMULARIO!$AA$2)</f>
        <v>1</v>
      </c>
      <c r="M2698" s="46"/>
      <c r="P2698" s="16"/>
    </row>
    <row r="2699" spans="5:16" hidden="1" x14ac:dyDescent="0.25">
      <c r="E2699" s="43">
        <f>COUNTIF($O$7:O2699,FORMULARIO!$AA$2)</f>
        <v>1</v>
      </c>
      <c r="M2699" s="46"/>
      <c r="P2699" s="16"/>
    </row>
    <row r="2700" spans="5:16" hidden="1" x14ac:dyDescent="0.25">
      <c r="E2700" s="43">
        <f>COUNTIF($O$7:O2700,FORMULARIO!$AA$2)</f>
        <v>1</v>
      </c>
      <c r="M2700" s="46"/>
      <c r="P2700" s="16"/>
    </row>
    <row r="2701" spans="5:16" hidden="1" x14ac:dyDescent="0.25">
      <c r="E2701" s="43">
        <f>COUNTIF($O$7:O2701,FORMULARIO!$AA$2)</f>
        <v>1</v>
      </c>
      <c r="M2701" s="46"/>
      <c r="P2701" s="16"/>
    </row>
    <row r="2702" spans="5:16" hidden="1" x14ac:dyDescent="0.25">
      <c r="E2702" s="43">
        <f>COUNTIF($O$7:O2702,FORMULARIO!$AA$2)</f>
        <v>1</v>
      </c>
      <c r="M2702" s="46"/>
      <c r="P2702" s="16"/>
    </row>
    <row r="2703" spans="5:16" hidden="1" x14ac:dyDescent="0.25">
      <c r="E2703" s="43">
        <f>COUNTIF($O$7:O2703,FORMULARIO!$AA$2)</f>
        <v>1</v>
      </c>
      <c r="M2703" s="46"/>
      <c r="P2703" s="16"/>
    </row>
    <row r="2704" spans="5:16" hidden="1" x14ac:dyDescent="0.25">
      <c r="E2704" s="43">
        <f>COUNTIF($O$7:O2704,FORMULARIO!$AA$2)</f>
        <v>1</v>
      </c>
      <c r="M2704" s="46"/>
      <c r="P2704" s="16"/>
    </row>
    <row r="2705" spans="5:16" hidden="1" x14ac:dyDescent="0.25">
      <c r="E2705" s="43">
        <f>COUNTIF($O$7:O2705,FORMULARIO!$AA$2)</f>
        <v>1</v>
      </c>
      <c r="M2705" s="46"/>
      <c r="P2705" s="16"/>
    </row>
    <row r="2706" spans="5:16" hidden="1" x14ac:dyDescent="0.25">
      <c r="E2706" s="43">
        <f>COUNTIF($O$7:O2706,FORMULARIO!$AA$2)</f>
        <v>1</v>
      </c>
      <c r="M2706" s="46"/>
      <c r="P2706" s="16"/>
    </row>
    <row r="2707" spans="5:16" hidden="1" x14ac:dyDescent="0.25">
      <c r="E2707" s="43">
        <f>COUNTIF($O$7:O2707,FORMULARIO!$AA$2)</f>
        <v>1</v>
      </c>
      <c r="M2707" s="46"/>
      <c r="P2707" s="16"/>
    </row>
    <row r="2708" spans="5:16" hidden="1" x14ac:dyDescent="0.25">
      <c r="E2708" s="43">
        <f>COUNTIF($O$7:O2708,FORMULARIO!$AA$2)</f>
        <v>1</v>
      </c>
      <c r="M2708" s="46"/>
      <c r="P2708" s="16"/>
    </row>
    <row r="2709" spans="5:16" hidden="1" x14ac:dyDescent="0.25">
      <c r="E2709" s="43">
        <f>COUNTIF($O$7:O2709,FORMULARIO!$AA$2)</f>
        <v>1</v>
      </c>
      <c r="M2709" s="46"/>
      <c r="P2709" s="16"/>
    </row>
    <row r="2710" spans="5:16" hidden="1" x14ac:dyDescent="0.25">
      <c r="E2710" s="43">
        <f>COUNTIF($O$7:O2710,FORMULARIO!$AA$2)</f>
        <v>1</v>
      </c>
      <c r="M2710" s="46"/>
      <c r="P2710" s="16"/>
    </row>
    <row r="2711" spans="5:16" hidden="1" x14ac:dyDescent="0.25">
      <c r="E2711" s="43">
        <f>COUNTIF($O$7:O2711,FORMULARIO!$AA$2)</f>
        <v>1</v>
      </c>
      <c r="M2711" s="46"/>
      <c r="P2711" s="16"/>
    </row>
    <row r="2712" spans="5:16" hidden="1" x14ac:dyDescent="0.25">
      <c r="E2712" s="43">
        <f>COUNTIF($O$7:O2712,FORMULARIO!$AA$2)</f>
        <v>1</v>
      </c>
      <c r="M2712" s="46"/>
      <c r="P2712" s="16"/>
    </row>
    <row r="2713" spans="5:16" hidden="1" x14ac:dyDescent="0.25">
      <c r="E2713" s="43">
        <f>COUNTIF($O$7:O2713,FORMULARIO!$AA$2)</f>
        <v>1</v>
      </c>
      <c r="M2713" s="46"/>
      <c r="P2713" s="16"/>
    </row>
    <row r="2714" spans="5:16" hidden="1" x14ac:dyDescent="0.25">
      <c r="E2714" s="43">
        <f>COUNTIF($O$7:O2714,FORMULARIO!$AA$2)</f>
        <v>1</v>
      </c>
      <c r="M2714" s="46"/>
      <c r="P2714" s="16"/>
    </row>
    <row r="2715" spans="5:16" hidden="1" x14ac:dyDescent="0.25">
      <c r="E2715" s="43">
        <f>COUNTIF($O$7:O2715,FORMULARIO!$AA$2)</f>
        <v>1</v>
      </c>
      <c r="M2715" s="46"/>
      <c r="P2715" s="16"/>
    </row>
    <row r="2716" spans="5:16" hidden="1" x14ac:dyDescent="0.25">
      <c r="E2716" s="43">
        <f>COUNTIF($O$7:O2716,FORMULARIO!$AA$2)</f>
        <v>1</v>
      </c>
      <c r="M2716" s="46"/>
      <c r="P2716" s="16"/>
    </row>
    <row r="2717" spans="5:16" hidden="1" x14ac:dyDescent="0.25">
      <c r="E2717" s="43">
        <f>COUNTIF($O$7:O2717,FORMULARIO!$AA$2)</f>
        <v>1</v>
      </c>
      <c r="M2717" s="46"/>
      <c r="P2717" s="16"/>
    </row>
    <row r="2718" spans="5:16" hidden="1" x14ac:dyDescent="0.25">
      <c r="E2718" s="43">
        <f>COUNTIF($O$7:O2718,FORMULARIO!$AA$2)</f>
        <v>1</v>
      </c>
      <c r="M2718" s="46"/>
      <c r="P2718" s="16"/>
    </row>
    <row r="2719" spans="5:16" hidden="1" x14ac:dyDescent="0.25">
      <c r="E2719" s="43">
        <f>COUNTIF($O$7:O2719,FORMULARIO!$AA$2)</f>
        <v>1</v>
      </c>
      <c r="M2719" s="46"/>
      <c r="P2719" s="16"/>
    </row>
    <row r="2720" spans="5:16" hidden="1" x14ac:dyDescent="0.25">
      <c r="E2720" s="43">
        <f>COUNTIF($O$7:O2720,FORMULARIO!$AA$2)</f>
        <v>1</v>
      </c>
      <c r="M2720" s="46"/>
      <c r="P2720" s="16"/>
    </row>
    <row r="2721" spans="5:16" hidden="1" x14ac:dyDescent="0.25">
      <c r="E2721" s="43">
        <f>COUNTIF($O$7:O2721,FORMULARIO!$AA$2)</f>
        <v>1</v>
      </c>
      <c r="M2721" s="46"/>
      <c r="P2721" s="16"/>
    </row>
    <row r="2722" spans="5:16" hidden="1" x14ac:dyDescent="0.25">
      <c r="E2722" s="43">
        <f>COUNTIF($O$7:O2722,FORMULARIO!$AA$2)</f>
        <v>1</v>
      </c>
      <c r="M2722" s="46"/>
      <c r="P2722" s="16"/>
    </row>
    <row r="2723" spans="5:16" hidden="1" x14ac:dyDescent="0.25">
      <c r="E2723" s="43">
        <f>COUNTIF($O$7:O2723,FORMULARIO!$AA$2)</f>
        <v>1</v>
      </c>
      <c r="M2723" s="46"/>
      <c r="P2723" s="16"/>
    </row>
    <row r="2724" spans="5:16" hidden="1" x14ac:dyDescent="0.25">
      <c r="E2724" s="43">
        <f>COUNTIF($O$7:O2724,FORMULARIO!$AA$2)</f>
        <v>1</v>
      </c>
      <c r="M2724" s="46"/>
      <c r="P2724" s="16"/>
    </row>
    <row r="2725" spans="5:16" hidden="1" x14ac:dyDescent="0.25">
      <c r="E2725" s="43">
        <f>COUNTIF($O$7:O2725,FORMULARIO!$AA$2)</f>
        <v>1</v>
      </c>
      <c r="M2725" s="46"/>
      <c r="P2725" s="16"/>
    </row>
    <row r="2726" spans="5:16" hidden="1" x14ac:dyDescent="0.25">
      <c r="E2726" s="43">
        <f>COUNTIF($O$7:O2726,FORMULARIO!$AA$2)</f>
        <v>1</v>
      </c>
      <c r="M2726" s="46"/>
      <c r="P2726" s="16"/>
    </row>
    <row r="2727" spans="5:16" hidden="1" x14ac:dyDescent="0.25">
      <c r="E2727" s="43">
        <f>COUNTIF($O$7:O2727,FORMULARIO!$AA$2)</f>
        <v>1</v>
      </c>
      <c r="M2727" s="46"/>
      <c r="P2727" s="16"/>
    </row>
    <row r="2728" spans="5:16" hidden="1" x14ac:dyDescent="0.25">
      <c r="E2728" s="43">
        <f>COUNTIF($O$7:O2728,FORMULARIO!$AA$2)</f>
        <v>1</v>
      </c>
      <c r="M2728" s="46"/>
      <c r="P2728" s="16"/>
    </row>
    <row r="2729" spans="5:16" hidden="1" x14ac:dyDescent="0.25">
      <c r="E2729" s="43">
        <f>COUNTIF($O$7:O2729,FORMULARIO!$AA$2)</f>
        <v>1</v>
      </c>
      <c r="M2729" s="46"/>
      <c r="P2729" s="16"/>
    </row>
    <row r="2730" spans="5:16" hidden="1" x14ac:dyDescent="0.25">
      <c r="E2730" s="43">
        <f>COUNTIF($O$7:O2730,FORMULARIO!$AA$2)</f>
        <v>1</v>
      </c>
      <c r="M2730" s="46"/>
      <c r="P2730" s="16"/>
    </row>
    <row r="2731" spans="5:16" hidden="1" x14ac:dyDescent="0.25">
      <c r="E2731" s="43">
        <f>COUNTIF($O$7:O2731,FORMULARIO!$AA$2)</f>
        <v>1</v>
      </c>
      <c r="M2731" s="46"/>
      <c r="P2731" s="16"/>
    </row>
    <row r="2732" spans="5:16" hidden="1" x14ac:dyDescent="0.25">
      <c r="E2732" s="43">
        <f>COUNTIF($O$7:O2732,FORMULARIO!$AA$2)</f>
        <v>1</v>
      </c>
      <c r="M2732" s="46"/>
      <c r="P2732" s="16"/>
    </row>
    <row r="2733" spans="5:16" hidden="1" x14ac:dyDescent="0.25">
      <c r="E2733" s="43">
        <f>COUNTIF($O$7:O2733,FORMULARIO!$AA$2)</f>
        <v>1</v>
      </c>
      <c r="M2733" s="46"/>
      <c r="P2733" s="16"/>
    </row>
    <row r="2734" spans="5:16" hidden="1" x14ac:dyDescent="0.25">
      <c r="E2734" s="43">
        <f>COUNTIF($O$7:O2734,FORMULARIO!$AA$2)</f>
        <v>1</v>
      </c>
      <c r="M2734" s="46"/>
      <c r="P2734" s="16"/>
    </row>
    <row r="2735" spans="5:16" hidden="1" x14ac:dyDescent="0.25">
      <c r="E2735" s="43">
        <f>COUNTIF($O$7:O2735,FORMULARIO!$AA$2)</f>
        <v>1</v>
      </c>
      <c r="M2735" s="46"/>
      <c r="P2735" s="16"/>
    </row>
    <row r="2736" spans="5:16" hidden="1" x14ac:dyDescent="0.25">
      <c r="E2736" s="43">
        <f>COUNTIF($O$7:O2736,FORMULARIO!$AA$2)</f>
        <v>1</v>
      </c>
      <c r="M2736" s="46"/>
      <c r="P2736" s="16"/>
    </row>
    <row r="2737" spans="5:16" hidden="1" x14ac:dyDescent="0.25">
      <c r="E2737" s="43">
        <f>COUNTIF($O$7:O2737,FORMULARIO!$AA$2)</f>
        <v>1</v>
      </c>
      <c r="M2737" s="46"/>
      <c r="P2737" s="16"/>
    </row>
    <row r="2738" spans="5:16" hidden="1" x14ac:dyDescent="0.25">
      <c r="E2738" s="43">
        <f>COUNTIF($O$7:O2738,FORMULARIO!$AA$2)</f>
        <v>1</v>
      </c>
      <c r="M2738" s="46"/>
      <c r="P2738" s="16"/>
    </row>
    <row r="2739" spans="5:16" hidden="1" x14ac:dyDescent="0.25">
      <c r="E2739" s="43">
        <f>COUNTIF($O$7:O2739,FORMULARIO!$AA$2)</f>
        <v>1</v>
      </c>
      <c r="M2739" s="46"/>
      <c r="P2739" s="16"/>
    </row>
    <row r="2740" spans="5:16" hidden="1" x14ac:dyDescent="0.25">
      <c r="E2740" s="43">
        <f>COUNTIF($O$7:O2740,FORMULARIO!$AA$2)</f>
        <v>1</v>
      </c>
      <c r="M2740" s="46"/>
      <c r="P2740" s="16"/>
    </row>
    <row r="2741" spans="5:16" hidden="1" x14ac:dyDescent="0.25">
      <c r="E2741" s="43">
        <f>COUNTIF($O$7:O2741,FORMULARIO!$AA$2)</f>
        <v>1</v>
      </c>
      <c r="M2741" s="46"/>
      <c r="P2741" s="16"/>
    </row>
    <row r="2742" spans="5:16" hidden="1" x14ac:dyDescent="0.25">
      <c r="E2742" s="43">
        <f>COUNTIF($O$7:O2742,FORMULARIO!$AA$2)</f>
        <v>1</v>
      </c>
      <c r="M2742" s="46"/>
      <c r="P2742" s="16"/>
    </row>
    <row r="2743" spans="5:16" hidden="1" x14ac:dyDescent="0.25">
      <c r="E2743" s="43">
        <f>COUNTIF($O$7:O2743,FORMULARIO!$AA$2)</f>
        <v>1</v>
      </c>
      <c r="M2743" s="46"/>
      <c r="P2743" s="16"/>
    </row>
    <row r="2744" spans="5:16" hidden="1" x14ac:dyDescent="0.25">
      <c r="E2744" s="43">
        <f>COUNTIF($O$7:O2744,FORMULARIO!$AA$2)</f>
        <v>1</v>
      </c>
      <c r="M2744" s="46"/>
      <c r="P2744" s="16"/>
    </row>
    <row r="2745" spans="5:16" hidden="1" x14ac:dyDescent="0.25">
      <c r="E2745" s="43">
        <f>COUNTIF($O$7:O2745,FORMULARIO!$AA$2)</f>
        <v>1</v>
      </c>
      <c r="M2745" s="46"/>
      <c r="P2745" s="16"/>
    </row>
    <row r="2746" spans="5:16" hidden="1" x14ac:dyDescent="0.25">
      <c r="E2746" s="43">
        <f>COUNTIF($O$7:O2746,FORMULARIO!$AA$2)</f>
        <v>1</v>
      </c>
      <c r="M2746" s="46"/>
      <c r="P2746" s="16"/>
    </row>
    <row r="2747" spans="5:16" hidden="1" x14ac:dyDescent="0.25">
      <c r="E2747" s="43">
        <f>COUNTIF($O$7:O2747,FORMULARIO!$AA$2)</f>
        <v>1</v>
      </c>
      <c r="M2747" s="46"/>
      <c r="P2747" s="16"/>
    </row>
    <row r="2748" spans="5:16" hidden="1" x14ac:dyDescent="0.25">
      <c r="E2748" s="43">
        <f>COUNTIF($O$7:O2748,FORMULARIO!$AA$2)</f>
        <v>1</v>
      </c>
      <c r="M2748" s="46"/>
      <c r="P2748" s="16"/>
    </row>
    <row r="2749" spans="5:16" hidden="1" x14ac:dyDescent="0.25">
      <c r="E2749" s="43">
        <f>COUNTIF($O$7:O2749,FORMULARIO!$AA$2)</f>
        <v>1</v>
      </c>
      <c r="M2749" s="46"/>
      <c r="P2749" s="16"/>
    </row>
    <row r="2750" spans="5:16" hidden="1" x14ac:dyDescent="0.25">
      <c r="E2750" s="43">
        <f>COUNTIF($O$7:O2750,FORMULARIO!$AA$2)</f>
        <v>1</v>
      </c>
      <c r="M2750" s="46"/>
      <c r="P2750" s="16"/>
    </row>
    <row r="2751" spans="5:16" hidden="1" x14ac:dyDescent="0.25">
      <c r="E2751" s="43">
        <f>COUNTIF($O$7:O2751,FORMULARIO!$AA$2)</f>
        <v>1</v>
      </c>
      <c r="M2751" s="46"/>
      <c r="P2751" s="16"/>
    </row>
    <row r="2752" spans="5:16" hidden="1" x14ac:dyDescent="0.25">
      <c r="E2752" s="43">
        <f>COUNTIF($O$7:O2752,FORMULARIO!$AA$2)</f>
        <v>1</v>
      </c>
      <c r="M2752" s="46"/>
      <c r="P2752" s="16"/>
    </row>
    <row r="2753" spans="5:16" hidden="1" x14ac:dyDescent="0.25">
      <c r="E2753" s="43">
        <f>COUNTIF($O$7:O2753,FORMULARIO!$AA$2)</f>
        <v>1</v>
      </c>
      <c r="M2753" s="46"/>
      <c r="P2753" s="16"/>
    </row>
    <row r="2754" spans="5:16" hidden="1" x14ac:dyDescent="0.25">
      <c r="E2754" s="43">
        <f>COUNTIF($O$7:O2754,FORMULARIO!$AA$2)</f>
        <v>1</v>
      </c>
      <c r="M2754" s="46"/>
      <c r="P2754" s="16"/>
    </row>
    <row r="2755" spans="5:16" hidden="1" x14ac:dyDescent="0.25">
      <c r="E2755" s="43">
        <f>COUNTIF($O$7:O2755,FORMULARIO!$AA$2)</f>
        <v>1</v>
      </c>
      <c r="M2755" s="46"/>
      <c r="P2755" s="16"/>
    </row>
    <row r="2756" spans="5:16" hidden="1" x14ac:dyDescent="0.25">
      <c r="E2756" s="43">
        <f>COUNTIF($O$7:O2756,FORMULARIO!$AA$2)</f>
        <v>1</v>
      </c>
      <c r="M2756" s="46"/>
      <c r="P2756" s="16"/>
    </row>
    <row r="2757" spans="5:16" hidden="1" x14ac:dyDescent="0.25">
      <c r="E2757" s="43">
        <f>COUNTIF($O$7:O2757,FORMULARIO!$AA$2)</f>
        <v>1</v>
      </c>
      <c r="M2757" s="46"/>
      <c r="P2757" s="16"/>
    </row>
    <row r="2758" spans="5:16" hidden="1" x14ac:dyDescent="0.25">
      <c r="E2758" s="43">
        <f>COUNTIF($O$7:O2758,FORMULARIO!$AA$2)</f>
        <v>1</v>
      </c>
      <c r="M2758" s="46"/>
      <c r="P2758" s="16"/>
    </row>
    <row r="2759" spans="5:16" hidden="1" x14ac:dyDescent="0.25">
      <c r="E2759" s="43">
        <f>COUNTIF($O$7:O2759,FORMULARIO!$AA$2)</f>
        <v>1</v>
      </c>
      <c r="M2759" s="46"/>
      <c r="P2759" s="16"/>
    </row>
    <row r="2760" spans="5:16" hidden="1" x14ac:dyDescent="0.25">
      <c r="E2760" s="43">
        <f>COUNTIF($O$7:O2760,FORMULARIO!$AA$2)</f>
        <v>1</v>
      </c>
      <c r="M2760" s="46"/>
      <c r="P2760" s="16"/>
    </row>
    <row r="2761" spans="5:16" hidden="1" x14ac:dyDescent="0.25">
      <c r="E2761" s="43">
        <f>COUNTIF($O$7:O2761,FORMULARIO!$AA$2)</f>
        <v>1</v>
      </c>
      <c r="M2761" s="46"/>
      <c r="P2761" s="16"/>
    </row>
    <row r="2762" spans="5:16" hidden="1" x14ac:dyDescent="0.25">
      <c r="E2762" s="43">
        <f>COUNTIF($O$7:O2762,FORMULARIO!$AA$2)</f>
        <v>1</v>
      </c>
      <c r="M2762" s="46"/>
      <c r="P2762" s="16"/>
    </row>
    <row r="2763" spans="5:16" hidden="1" x14ac:dyDescent="0.25">
      <c r="E2763" s="43">
        <f>COUNTIF($O$7:O2763,FORMULARIO!$AA$2)</f>
        <v>1</v>
      </c>
      <c r="M2763" s="46"/>
      <c r="P2763" s="16"/>
    </row>
    <row r="2764" spans="5:16" hidden="1" x14ac:dyDescent="0.25">
      <c r="E2764" s="43">
        <f>COUNTIF($O$7:O2764,FORMULARIO!$AA$2)</f>
        <v>1</v>
      </c>
      <c r="M2764" s="46"/>
      <c r="P2764" s="16"/>
    </row>
    <row r="2765" spans="5:16" hidden="1" x14ac:dyDescent="0.25">
      <c r="E2765" s="43">
        <f>COUNTIF($O$7:O2765,FORMULARIO!$AA$2)</f>
        <v>1</v>
      </c>
      <c r="M2765" s="46"/>
      <c r="P2765" s="16"/>
    </row>
    <row r="2766" spans="5:16" hidden="1" x14ac:dyDescent="0.25">
      <c r="E2766" s="43">
        <f>COUNTIF($O$7:O2766,FORMULARIO!$AA$2)</f>
        <v>1</v>
      </c>
      <c r="M2766" s="46"/>
      <c r="P2766" s="16"/>
    </row>
    <row r="2767" spans="5:16" hidden="1" x14ac:dyDescent="0.25">
      <c r="E2767" s="43">
        <f>COUNTIF($O$7:O2767,FORMULARIO!$AA$2)</f>
        <v>1</v>
      </c>
      <c r="M2767" s="46"/>
      <c r="P2767" s="16"/>
    </row>
    <row r="2768" spans="5:16" hidden="1" x14ac:dyDescent="0.25">
      <c r="E2768" s="43">
        <f>COUNTIF($O$7:O2768,FORMULARIO!$AA$2)</f>
        <v>1</v>
      </c>
      <c r="M2768" s="46"/>
      <c r="P2768" s="16"/>
    </row>
    <row r="2769" spans="5:16" hidden="1" x14ac:dyDescent="0.25">
      <c r="E2769" s="43">
        <f>COUNTIF($O$7:O2769,FORMULARIO!$AA$2)</f>
        <v>1</v>
      </c>
      <c r="M2769" s="46"/>
      <c r="P2769" s="16"/>
    </row>
    <row r="2770" spans="5:16" hidden="1" x14ac:dyDescent="0.25">
      <c r="E2770" s="43">
        <f>COUNTIF($O$7:O2770,FORMULARIO!$AA$2)</f>
        <v>1</v>
      </c>
      <c r="M2770" s="46"/>
      <c r="P2770" s="16"/>
    </row>
    <row r="2771" spans="5:16" hidden="1" x14ac:dyDescent="0.25">
      <c r="E2771" s="43">
        <f>COUNTIF($O$7:O2771,FORMULARIO!$AA$2)</f>
        <v>1</v>
      </c>
      <c r="M2771" s="46"/>
      <c r="P2771" s="16"/>
    </row>
    <row r="2772" spans="5:16" hidden="1" x14ac:dyDescent="0.25">
      <c r="E2772" s="43">
        <f>COUNTIF($O$7:O2772,FORMULARIO!$AA$2)</f>
        <v>1</v>
      </c>
      <c r="M2772" s="46"/>
      <c r="P2772" s="16"/>
    </row>
    <row r="2773" spans="5:16" hidden="1" x14ac:dyDescent="0.25">
      <c r="E2773" s="43">
        <f>COUNTIF($O$7:O2773,FORMULARIO!$AA$2)</f>
        <v>1</v>
      </c>
      <c r="M2773" s="46"/>
      <c r="P2773" s="16"/>
    </row>
    <row r="2774" spans="5:16" hidden="1" x14ac:dyDescent="0.25">
      <c r="E2774" s="43">
        <f>COUNTIF($O$7:O2774,FORMULARIO!$AA$2)</f>
        <v>1</v>
      </c>
      <c r="M2774" s="46"/>
      <c r="P2774" s="16"/>
    </row>
    <row r="2775" spans="5:16" hidden="1" x14ac:dyDescent="0.25">
      <c r="E2775" s="43">
        <f>COUNTIF($O$7:O2775,FORMULARIO!$AA$2)</f>
        <v>1</v>
      </c>
      <c r="M2775" s="46"/>
      <c r="P2775" s="16"/>
    </row>
    <row r="2776" spans="5:16" hidden="1" x14ac:dyDescent="0.25">
      <c r="E2776" s="43">
        <f>COUNTIF($O$7:O2776,FORMULARIO!$AA$2)</f>
        <v>1</v>
      </c>
      <c r="M2776" s="46"/>
      <c r="P2776" s="16"/>
    </row>
    <row r="2777" spans="5:16" hidden="1" x14ac:dyDescent="0.25">
      <c r="E2777" s="43">
        <f>COUNTIF($O$7:O2777,FORMULARIO!$AA$2)</f>
        <v>1</v>
      </c>
      <c r="M2777" s="46"/>
      <c r="P2777" s="16"/>
    </row>
    <row r="2778" spans="5:16" hidden="1" x14ac:dyDescent="0.25">
      <c r="E2778" s="43">
        <f>COUNTIF($O$7:O2778,FORMULARIO!$AA$2)</f>
        <v>1</v>
      </c>
      <c r="M2778" s="46"/>
      <c r="P2778" s="16"/>
    </row>
    <row r="2779" spans="5:16" hidden="1" x14ac:dyDescent="0.25">
      <c r="E2779" s="43">
        <f>COUNTIF($O$7:O2779,FORMULARIO!$AA$2)</f>
        <v>1</v>
      </c>
      <c r="M2779" s="46"/>
      <c r="P2779" s="16"/>
    </row>
    <row r="2780" spans="5:16" hidden="1" x14ac:dyDescent="0.25">
      <c r="E2780" s="43">
        <f>COUNTIF($O$7:O2780,FORMULARIO!$AA$2)</f>
        <v>1</v>
      </c>
      <c r="M2780" s="46"/>
      <c r="P2780" s="16"/>
    </row>
    <row r="2781" spans="5:16" hidden="1" x14ac:dyDescent="0.25">
      <c r="E2781" s="43">
        <f>COUNTIF($O$7:O2781,FORMULARIO!$AA$2)</f>
        <v>1</v>
      </c>
      <c r="M2781" s="46"/>
      <c r="P2781" s="16"/>
    </row>
    <row r="2782" spans="5:16" hidden="1" x14ac:dyDescent="0.25">
      <c r="E2782" s="43">
        <f>COUNTIF($O$7:O2782,FORMULARIO!$AA$2)</f>
        <v>1</v>
      </c>
      <c r="M2782" s="46"/>
      <c r="P2782" s="16"/>
    </row>
    <row r="2783" spans="5:16" hidden="1" x14ac:dyDescent="0.25">
      <c r="E2783" s="43">
        <f>COUNTIF($O$7:O2783,FORMULARIO!$AA$2)</f>
        <v>1</v>
      </c>
      <c r="M2783" s="46"/>
      <c r="P2783" s="16"/>
    </row>
    <row r="2784" spans="5:16" hidden="1" x14ac:dyDescent="0.25">
      <c r="E2784" s="43">
        <f>COUNTIF($O$7:O2784,FORMULARIO!$AA$2)</f>
        <v>1</v>
      </c>
      <c r="M2784" s="46"/>
      <c r="P2784" s="16"/>
    </row>
    <row r="2785" spans="5:16" hidden="1" x14ac:dyDescent="0.25">
      <c r="E2785" s="43">
        <f>COUNTIF($O$7:O2785,FORMULARIO!$AA$2)</f>
        <v>1</v>
      </c>
      <c r="M2785" s="46"/>
      <c r="P2785" s="16"/>
    </row>
    <row r="2786" spans="5:16" hidden="1" x14ac:dyDescent="0.25">
      <c r="E2786" s="43">
        <f>COUNTIF($O$7:O2786,FORMULARIO!$AA$2)</f>
        <v>1</v>
      </c>
      <c r="M2786" s="46"/>
      <c r="P2786" s="16"/>
    </row>
    <row r="2787" spans="5:16" hidden="1" x14ac:dyDescent="0.25">
      <c r="E2787" s="43">
        <f>COUNTIF($O$7:O2787,FORMULARIO!$AA$2)</f>
        <v>1</v>
      </c>
      <c r="M2787" s="46"/>
      <c r="P2787" s="16"/>
    </row>
    <row r="2788" spans="5:16" hidden="1" x14ac:dyDescent="0.25">
      <c r="E2788" s="43">
        <f>COUNTIF($O$7:O2788,FORMULARIO!$AA$2)</f>
        <v>1</v>
      </c>
      <c r="M2788" s="46"/>
      <c r="P2788" s="16"/>
    </row>
    <row r="2789" spans="5:16" hidden="1" x14ac:dyDescent="0.25">
      <c r="E2789" s="43">
        <f>COUNTIF($O$7:O2789,FORMULARIO!$AA$2)</f>
        <v>1</v>
      </c>
      <c r="M2789" s="46"/>
      <c r="P2789" s="16"/>
    </row>
    <row r="2790" spans="5:16" hidden="1" x14ac:dyDescent="0.25">
      <c r="E2790" s="43">
        <f>COUNTIF($O$7:O2790,FORMULARIO!$AA$2)</f>
        <v>1</v>
      </c>
      <c r="M2790" s="46"/>
      <c r="P2790" s="16"/>
    </row>
    <row r="2791" spans="5:16" hidden="1" x14ac:dyDescent="0.25">
      <c r="E2791" s="43">
        <f>COUNTIF($O$7:O2791,FORMULARIO!$AA$2)</f>
        <v>1</v>
      </c>
      <c r="M2791" s="46"/>
      <c r="P2791" s="16"/>
    </row>
    <row r="2792" spans="5:16" hidden="1" x14ac:dyDescent="0.25">
      <c r="E2792" s="43">
        <f>COUNTIF($O$7:O2792,FORMULARIO!$AA$2)</f>
        <v>1</v>
      </c>
      <c r="M2792" s="46"/>
      <c r="P2792" s="16"/>
    </row>
    <row r="2793" spans="5:16" hidden="1" x14ac:dyDescent="0.25">
      <c r="E2793" s="43">
        <f>COUNTIF($O$7:O2793,FORMULARIO!$AA$2)</f>
        <v>1</v>
      </c>
      <c r="M2793" s="46"/>
      <c r="P2793" s="16"/>
    </row>
    <row r="2794" spans="5:16" hidden="1" x14ac:dyDescent="0.25">
      <c r="E2794" s="43">
        <f>COUNTIF($O$7:O2794,FORMULARIO!$AA$2)</f>
        <v>1</v>
      </c>
      <c r="M2794" s="46"/>
      <c r="P2794" s="16"/>
    </row>
    <row r="2795" spans="5:16" hidden="1" x14ac:dyDescent="0.25">
      <c r="E2795" s="43">
        <f>COUNTIF($O$7:O2795,FORMULARIO!$AA$2)</f>
        <v>1</v>
      </c>
      <c r="M2795" s="46"/>
      <c r="P2795" s="16"/>
    </row>
    <row r="2796" spans="5:16" hidden="1" x14ac:dyDescent="0.25">
      <c r="E2796" s="43">
        <f>COUNTIF($O$7:O2796,FORMULARIO!$AA$2)</f>
        <v>1</v>
      </c>
      <c r="M2796" s="46"/>
      <c r="P2796" s="16"/>
    </row>
    <row r="2797" spans="5:16" hidden="1" x14ac:dyDescent="0.25">
      <c r="E2797" s="43">
        <f>COUNTIF($O$7:O2797,FORMULARIO!$AA$2)</f>
        <v>1</v>
      </c>
      <c r="M2797" s="46"/>
      <c r="P2797" s="16"/>
    </row>
    <row r="2798" spans="5:16" hidden="1" x14ac:dyDescent="0.25">
      <c r="E2798" s="43">
        <f>COUNTIF($O$7:O2798,FORMULARIO!$AA$2)</f>
        <v>1</v>
      </c>
      <c r="M2798" s="46"/>
      <c r="P2798" s="16"/>
    </row>
    <row r="2799" spans="5:16" hidden="1" x14ac:dyDescent="0.25">
      <c r="E2799" s="43">
        <f>COUNTIF($O$7:O2799,FORMULARIO!$AA$2)</f>
        <v>1</v>
      </c>
      <c r="M2799" s="46"/>
      <c r="P2799" s="16"/>
    </row>
    <row r="2800" spans="5:16" hidden="1" x14ac:dyDescent="0.25">
      <c r="E2800" s="43">
        <f>COUNTIF($O$7:O2800,FORMULARIO!$AA$2)</f>
        <v>1</v>
      </c>
      <c r="M2800" s="46"/>
      <c r="P2800" s="16"/>
    </row>
    <row r="2801" spans="5:16" hidden="1" x14ac:dyDescent="0.25">
      <c r="E2801" s="43">
        <f>COUNTIF($O$7:O2801,FORMULARIO!$AA$2)</f>
        <v>1</v>
      </c>
      <c r="M2801" s="46"/>
      <c r="P2801" s="16"/>
    </row>
    <row r="2802" spans="5:16" hidden="1" x14ac:dyDescent="0.25">
      <c r="E2802" s="43">
        <f>COUNTIF($O$7:O2802,FORMULARIO!$AA$2)</f>
        <v>1</v>
      </c>
      <c r="M2802" s="46"/>
      <c r="P2802" s="16"/>
    </row>
    <row r="2803" spans="5:16" hidden="1" x14ac:dyDescent="0.25">
      <c r="E2803" s="43">
        <f>COUNTIF($O$7:O2803,FORMULARIO!$AA$2)</f>
        <v>1</v>
      </c>
      <c r="M2803" s="46"/>
      <c r="P2803" s="16"/>
    </row>
    <row r="2804" spans="5:16" hidden="1" x14ac:dyDescent="0.25">
      <c r="E2804" s="43">
        <f>COUNTIF($O$7:O2804,FORMULARIO!$AA$2)</f>
        <v>1</v>
      </c>
      <c r="M2804" s="46"/>
      <c r="P2804" s="16"/>
    </row>
    <row r="2805" spans="5:16" hidden="1" x14ac:dyDescent="0.25">
      <c r="E2805" s="43">
        <f>COUNTIF($O$7:O2805,FORMULARIO!$AA$2)</f>
        <v>1</v>
      </c>
      <c r="M2805" s="46"/>
      <c r="P2805" s="16"/>
    </row>
    <row r="2806" spans="5:16" hidden="1" x14ac:dyDescent="0.25">
      <c r="E2806" s="43">
        <f>COUNTIF($O$7:O2806,FORMULARIO!$AA$2)</f>
        <v>1</v>
      </c>
      <c r="M2806" s="46"/>
      <c r="P2806" s="16"/>
    </row>
    <row r="2807" spans="5:16" hidden="1" x14ac:dyDescent="0.25">
      <c r="E2807" s="43">
        <f>COUNTIF($O$7:O2807,FORMULARIO!$AA$2)</f>
        <v>1</v>
      </c>
      <c r="M2807" s="46"/>
      <c r="P2807" s="16"/>
    </row>
    <row r="2808" spans="5:16" hidden="1" x14ac:dyDescent="0.25">
      <c r="E2808" s="43">
        <f>COUNTIF($O$7:O2808,FORMULARIO!$AA$2)</f>
        <v>1</v>
      </c>
      <c r="M2808" s="46"/>
      <c r="P2808" s="16"/>
    </row>
    <row r="2809" spans="5:16" hidden="1" x14ac:dyDescent="0.25">
      <c r="E2809" s="43">
        <f>COUNTIF($O$7:O2809,FORMULARIO!$AA$2)</f>
        <v>1</v>
      </c>
      <c r="M2809" s="46"/>
      <c r="P2809" s="16"/>
    </row>
    <row r="2810" spans="5:16" hidden="1" x14ac:dyDescent="0.25">
      <c r="E2810" s="43">
        <f>COUNTIF($O$7:O2810,FORMULARIO!$AA$2)</f>
        <v>1</v>
      </c>
      <c r="M2810" s="46"/>
      <c r="P2810" s="16"/>
    </row>
    <row r="2811" spans="5:16" hidden="1" x14ac:dyDescent="0.25">
      <c r="E2811" s="43">
        <f>COUNTIF($O$7:O2811,FORMULARIO!$AA$2)</f>
        <v>1</v>
      </c>
      <c r="M2811" s="46"/>
      <c r="P2811" s="16"/>
    </row>
    <row r="2812" spans="5:16" hidden="1" x14ac:dyDescent="0.25">
      <c r="E2812" s="43">
        <f>COUNTIF($O$7:O2812,FORMULARIO!$AA$2)</f>
        <v>1</v>
      </c>
      <c r="M2812" s="46"/>
      <c r="P2812" s="16"/>
    </row>
    <row r="2813" spans="5:16" hidden="1" x14ac:dyDescent="0.25">
      <c r="E2813" s="43">
        <f>COUNTIF($O$7:O2813,FORMULARIO!$AA$2)</f>
        <v>1</v>
      </c>
      <c r="M2813" s="46"/>
      <c r="P2813" s="16"/>
    </row>
    <row r="2814" spans="5:16" hidden="1" x14ac:dyDescent="0.25">
      <c r="E2814" s="43">
        <f>COUNTIF($O$7:O2814,FORMULARIO!$AA$2)</f>
        <v>1</v>
      </c>
      <c r="M2814" s="46"/>
      <c r="P2814" s="16"/>
    </row>
    <row r="2815" spans="5:16" hidden="1" x14ac:dyDescent="0.25">
      <c r="E2815" s="43">
        <f>COUNTIF($O$7:O2815,FORMULARIO!$AA$2)</f>
        <v>1</v>
      </c>
      <c r="M2815" s="46"/>
      <c r="P2815" s="16"/>
    </row>
    <row r="2816" spans="5:16" hidden="1" x14ac:dyDescent="0.25">
      <c r="E2816" s="43">
        <f>COUNTIF($O$7:O2816,FORMULARIO!$AA$2)</f>
        <v>1</v>
      </c>
      <c r="M2816" s="46"/>
      <c r="P2816" s="16"/>
    </row>
    <row r="2817" spans="5:16" hidden="1" x14ac:dyDescent="0.25">
      <c r="E2817" s="43">
        <f>COUNTIF($O$7:O2817,FORMULARIO!$AA$2)</f>
        <v>1</v>
      </c>
      <c r="M2817" s="46"/>
      <c r="P2817" s="16"/>
    </row>
    <row r="2818" spans="5:16" hidden="1" x14ac:dyDescent="0.25">
      <c r="E2818" s="43">
        <f>COUNTIF($O$7:O2818,FORMULARIO!$AA$2)</f>
        <v>1</v>
      </c>
      <c r="M2818" s="46"/>
      <c r="P2818" s="16"/>
    </row>
    <row r="2819" spans="5:16" hidden="1" x14ac:dyDescent="0.25">
      <c r="E2819" s="43">
        <f>COUNTIF($O$7:O2819,FORMULARIO!$AA$2)</f>
        <v>1</v>
      </c>
      <c r="M2819" s="46"/>
      <c r="P2819" s="16"/>
    </row>
    <row r="2820" spans="5:16" hidden="1" x14ac:dyDescent="0.25">
      <c r="E2820" s="43">
        <f>COUNTIF($O$7:O2820,FORMULARIO!$AA$2)</f>
        <v>1</v>
      </c>
      <c r="M2820" s="46"/>
      <c r="P2820" s="16"/>
    </row>
    <row r="2821" spans="5:16" hidden="1" x14ac:dyDescent="0.25">
      <c r="E2821" s="43">
        <f>COUNTIF($O$7:O2821,FORMULARIO!$AA$2)</f>
        <v>1</v>
      </c>
      <c r="M2821" s="46"/>
      <c r="P2821" s="16"/>
    </row>
    <row r="2822" spans="5:16" hidden="1" x14ac:dyDescent="0.25">
      <c r="E2822" s="43">
        <f>COUNTIF($O$7:O2822,FORMULARIO!$AA$2)</f>
        <v>1</v>
      </c>
      <c r="M2822" s="46"/>
      <c r="P2822" s="16"/>
    </row>
    <row r="2823" spans="5:16" hidden="1" x14ac:dyDescent="0.25">
      <c r="E2823" s="43">
        <f>COUNTIF($O$7:O2823,FORMULARIO!$AA$2)</f>
        <v>1</v>
      </c>
      <c r="M2823" s="46"/>
      <c r="P2823" s="16"/>
    </row>
    <row r="2824" spans="5:16" hidden="1" x14ac:dyDescent="0.25">
      <c r="E2824" s="43">
        <f>COUNTIF($O$7:O2824,FORMULARIO!$AA$2)</f>
        <v>1</v>
      </c>
      <c r="M2824" s="46"/>
      <c r="P2824" s="16"/>
    </row>
    <row r="2825" spans="5:16" hidden="1" x14ac:dyDescent="0.25">
      <c r="E2825" s="43">
        <f>COUNTIF($O$7:O2825,FORMULARIO!$AA$2)</f>
        <v>1</v>
      </c>
      <c r="M2825" s="46"/>
      <c r="P2825" s="16"/>
    </row>
    <row r="2826" spans="5:16" hidden="1" x14ac:dyDescent="0.25">
      <c r="E2826" s="43">
        <f>COUNTIF($O$7:O2826,FORMULARIO!$AA$2)</f>
        <v>1</v>
      </c>
      <c r="M2826" s="46"/>
      <c r="P2826" s="16"/>
    </row>
    <row r="2827" spans="5:16" hidden="1" x14ac:dyDescent="0.25">
      <c r="E2827" s="43">
        <f>COUNTIF($O$7:O2827,FORMULARIO!$AA$2)</f>
        <v>1</v>
      </c>
      <c r="M2827" s="46"/>
      <c r="P2827" s="16"/>
    </row>
    <row r="2828" spans="5:16" hidden="1" x14ac:dyDescent="0.25">
      <c r="E2828" s="43">
        <f>COUNTIF($O$7:O2828,FORMULARIO!$AA$2)</f>
        <v>1</v>
      </c>
      <c r="M2828" s="46"/>
      <c r="P2828" s="16"/>
    </row>
    <row r="2829" spans="5:16" hidden="1" x14ac:dyDescent="0.25">
      <c r="E2829" s="43">
        <f>COUNTIF($O$7:O2829,FORMULARIO!$AA$2)</f>
        <v>1</v>
      </c>
      <c r="M2829" s="46"/>
      <c r="P2829" s="16"/>
    </row>
    <row r="2830" spans="5:16" hidden="1" x14ac:dyDescent="0.25">
      <c r="E2830" s="43">
        <f>COUNTIF($O$7:O2830,FORMULARIO!$AA$2)</f>
        <v>1</v>
      </c>
      <c r="M2830" s="46"/>
      <c r="P2830" s="16"/>
    </row>
    <row r="2831" spans="5:16" hidden="1" x14ac:dyDescent="0.25">
      <c r="E2831" s="43">
        <f>COUNTIF($O$7:O2831,FORMULARIO!$AA$2)</f>
        <v>1</v>
      </c>
      <c r="M2831" s="46"/>
      <c r="P2831" s="16"/>
    </row>
    <row r="2832" spans="5:16" hidden="1" x14ac:dyDescent="0.25">
      <c r="E2832" s="43">
        <f>COUNTIF($O$7:O2832,FORMULARIO!$AA$2)</f>
        <v>1</v>
      </c>
      <c r="M2832" s="46"/>
      <c r="P2832" s="16"/>
    </row>
    <row r="2833" spans="5:16" hidden="1" x14ac:dyDescent="0.25">
      <c r="E2833" s="43">
        <f>COUNTIF($O$7:O2833,FORMULARIO!$AA$2)</f>
        <v>1</v>
      </c>
      <c r="M2833" s="46"/>
      <c r="P2833" s="16"/>
    </row>
    <row r="2834" spans="5:16" hidden="1" x14ac:dyDescent="0.25">
      <c r="E2834" s="43">
        <f>COUNTIF($O$7:O2834,FORMULARIO!$AA$2)</f>
        <v>1</v>
      </c>
      <c r="M2834" s="46"/>
      <c r="P2834" s="16"/>
    </row>
    <row r="2835" spans="5:16" hidden="1" x14ac:dyDescent="0.25">
      <c r="E2835" s="43">
        <f>COUNTIF($O$7:O2835,FORMULARIO!$AA$2)</f>
        <v>1</v>
      </c>
      <c r="M2835" s="46"/>
      <c r="P2835" s="16"/>
    </row>
    <row r="2836" spans="5:16" hidden="1" x14ac:dyDescent="0.25">
      <c r="E2836" s="43">
        <f>COUNTIF($O$7:O2836,FORMULARIO!$AA$2)</f>
        <v>1</v>
      </c>
      <c r="M2836" s="46"/>
      <c r="P2836" s="16"/>
    </row>
    <row r="2837" spans="5:16" hidden="1" x14ac:dyDescent="0.25">
      <c r="E2837" s="43">
        <f>COUNTIF($O$7:O2837,FORMULARIO!$AA$2)</f>
        <v>1</v>
      </c>
      <c r="M2837" s="46"/>
      <c r="P2837" s="16"/>
    </row>
    <row r="2838" spans="5:16" hidden="1" x14ac:dyDescent="0.25">
      <c r="E2838" s="43">
        <f>COUNTIF($O$7:O2838,FORMULARIO!$AA$2)</f>
        <v>1</v>
      </c>
      <c r="M2838" s="46"/>
      <c r="P2838" s="16"/>
    </row>
    <row r="2839" spans="5:16" hidden="1" x14ac:dyDescent="0.25">
      <c r="E2839" s="43">
        <f>COUNTIF($O$7:O2839,FORMULARIO!$AA$2)</f>
        <v>1</v>
      </c>
      <c r="M2839" s="46"/>
      <c r="P2839" s="16"/>
    </row>
    <row r="2840" spans="5:16" hidden="1" x14ac:dyDescent="0.25">
      <c r="E2840" s="43">
        <f>COUNTIF($O$7:O2840,FORMULARIO!$AA$2)</f>
        <v>1</v>
      </c>
      <c r="M2840" s="46"/>
      <c r="P2840" s="16"/>
    </row>
    <row r="2841" spans="5:16" hidden="1" x14ac:dyDescent="0.25">
      <c r="E2841" s="43">
        <f>COUNTIF($O$7:O2841,FORMULARIO!$AA$2)</f>
        <v>1</v>
      </c>
      <c r="M2841" s="46"/>
      <c r="P2841" s="16"/>
    </row>
    <row r="2842" spans="5:16" hidden="1" x14ac:dyDescent="0.25">
      <c r="E2842" s="43">
        <f>COUNTIF($O$7:O2842,FORMULARIO!$AA$2)</f>
        <v>1</v>
      </c>
      <c r="M2842" s="46"/>
      <c r="P2842" s="16"/>
    </row>
    <row r="2843" spans="5:16" hidden="1" x14ac:dyDescent="0.25">
      <c r="E2843" s="43">
        <f>COUNTIF($O$7:O2843,FORMULARIO!$AA$2)</f>
        <v>1</v>
      </c>
      <c r="M2843" s="46"/>
      <c r="P2843" s="16"/>
    </row>
    <row r="2844" spans="5:16" hidden="1" x14ac:dyDescent="0.25">
      <c r="E2844" s="43">
        <f>COUNTIF($O$7:O2844,FORMULARIO!$AA$2)</f>
        <v>1</v>
      </c>
      <c r="M2844" s="46"/>
      <c r="P2844" s="16"/>
    </row>
    <row r="2845" spans="5:16" hidden="1" x14ac:dyDescent="0.25">
      <c r="E2845" s="43">
        <f>COUNTIF($O$7:O2845,FORMULARIO!$AA$2)</f>
        <v>1</v>
      </c>
      <c r="M2845" s="46"/>
      <c r="P2845" s="16"/>
    </row>
    <row r="2846" spans="5:16" hidden="1" x14ac:dyDescent="0.25">
      <c r="E2846" s="43">
        <f>COUNTIF($O$7:O2846,FORMULARIO!$AA$2)</f>
        <v>1</v>
      </c>
      <c r="M2846" s="46"/>
      <c r="P2846" s="16"/>
    </row>
    <row r="2847" spans="5:16" hidden="1" x14ac:dyDescent="0.25">
      <c r="E2847" s="43">
        <f>COUNTIF($O$7:O2847,FORMULARIO!$AA$2)</f>
        <v>1</v>
      </c>
      <c r="M2847" s="46"/>
      <c r="P2847" s="16"/>
    </row>
    <row r="2848" spans="5:16" hidden="1" x14ac:dyDescent="0.25">
      <c r="E2848" s="43">
        <f>COUNTIF($O$7:O2848,FORMULARIO!$AA$2)</f>
        <v>1</v>
      </c>
      <c r="M2848" s="46"/>
      <c r="P2848" s="16"/>
    </row>
    <row r="2849" spans="5:16" hidden="1" x14ac:dyDescent="0.25">
      <c r="E2849" s="43">
        <f>COUNTIF($O$7:O2849,FORMULARIO!$AA$2)</f>
        <v>1</v>
      </c>
      <c r="M2849" s="46"/>
      <c r="P2849" s="16"/>
    </row>
    <row r="2850" spans="5:16" hidden="1" x14ac:dyDescent="0.25">
      <c r="E2850" s="43">
        <f>COUNTIF($O$7:O2850,FORMULARIO!$AA$2)</f>
        <v>1</v>
      </c>
      <c r="M2850" s="46"/>
      <c r="P2850" s="16"/>
    </row>
    <row r="2851" spans="5:16" hidden="1" x14ac:dyDescent="0.25">
      <c r="E2851" s="43">
        <f>COUNTIF($O$7:O2851,FORMULARIO!$AA$2)</f>
        <v>1</v>
      </c>
      <c r="M2851" s="46"/>
      <c r="P2851" s="16"/>
    </row>
    <row r="2852" spans="5:16" hidden="1" x14ac:dyDescent="0.25">
      <c r="E2852" s="43">
        <f>COUNTIF($O$7:O2852,FORMULARIO!$AA$2)</f>
        <v>1</v>
      </c>
      <c r="M2852" s="46"/>
      <c r="P2852" s="16"/>
    </row>
    <row r="2853" spans="5:16" hidden="1" x14ac:dyDescent="0.25">
      <c r="E2853" s="43">
        <f>COUNTIF($O$7:O2853,FORMULARIO!$AA$2)</f>
        <v>1</v>
      </c>
      <c r="M2853" s="46"/>
      <c r="P2853" s="16"/>
    </row>
    <row r="2854" spans="5:16" hidden="1" x14ac:dyDescent="0.25">
      <c r="E2854" s="43">
        <f>COUNTIF($O$7:O2854,FORMULARIO!$AA$2)</f>
        <v>1</v>
      </c>
      <c r="M2854" s="46"/>
      <c r="P2854" s="16"/>
    </row>
    <row r="2855" spans="5:16" hidden="1" x14ac:dyDescent="0.25">
      <c r="E2855" s="43">
        <f>COUNTIF($O$7:O2855,FORMULARIO!$AA$2)</f>
        <v>1</v>
      </c>
      <c r="M2855" s="46"/>
      <c r="P2855" s="16"/>
    </row>
    <row r="2856" spans="5:16" hidden="1" x14ac:dyDescent="0.25">
      <c r="E2856" s="43">
        <f>COUNTIF($O$7:O2856,FORMULARIO!$AA$2)</f>
        <v>1</v>
      </c>
      <c r="M2856" s="46"/>
      <c r="P2856" s="16"/>
    </row>
    <row r="2857" spans="5:16" hidden="1" x14ac:dyDescent="0.25">
      <c r="E2857" s="43">
        <f>COUNTIF($O$7:O2857,FORMULARIO!$AA$2)</f>
        <v>1</v>
      </c>
      <c r="M2857" s="46"/>
      <c r="P2857" s="16"/>
    </row>
    <row r="2858" spans="5:16" hidden="1" x14ac:dyDescent="0.25">
      <c r="E2858" s="43">
        <f>COUNTIF($O$7:O2858,FORMULARIO!$AA$2)</f>
        <v>1</v>
      </c>
      <c r="M2858" s="46"/>
      <c r="P2858" s="16"/>
    </row>
    <row r="2859" spans="5:16" hidden="1" x14ac:dyDescent="0.25">
      <c r="E2859" s="43">
        <f>COUNTIF($O$7:O2859,FORMULARIO!$AA$2)</f>
        <v>1</v>
      </c>
      <c r="M2859" s="46"/>
      <c r="P2859" s="16"/>
    </row>
    <row r="2860" spans="5:16" hidden="1" x14ac:dyDescent="0.25">
      <c r="E2860" s="43">
        <f>COUNTIF($O$7:O2860,FORMULARIO!$AA$2)</f>
        <v>1</v>
      </c>
      <c r="M2860" s="46"/>
      <c r="P2860" s="16"/>
    </row>
    <row r="2861" spans="5:16" hidden="1" x14ac:dyDescent="0.25">
      <c r="E2861" s="43">
        <f>COUNTIF($O$7:O2861,FORMULARIO!$AA$2)</f>
        <v>1</v>
      </c>
      <c r="M2861" s="46"/>
      <c r="P2861" s="16"/>
    </row>
    <row r="2862" spans="5:16" hidden="1" x14ac:dyDescent="0.25">
      <c r="E2862" s="43">
        <f>COUNTIF($O$7:O2862,FORMULARIO!$AA$2)</f>
        <v>1</v>
      </c>
      <c r="M2862" s="46"/>
      <c r="P2862" s="16"/>
    </row>
    <row r="2863" spans="5:16" hidden="1" x14ac:dyDescent="0.25">
      <c r="E2863" s="43">
        <f>COUNTIF($O$7:O2863,FORMULARIO!$AA$2)</f>
        <v>1</v>
      </c>
      <c r="M2863" s="46"/>
      <c r="P2863" s="16"/>
    </row>
    <row r="2864" spans="5:16" hidden="1" x14ac:dyDescent="0.25">
      <c r="E2864" s="43">
        <f>COUNTIF($O$7:O2864,FORMULARIO!$AA$2)</f>
        <v>1</v>
      </c>
      <c r="M2864" s="46"/>
      <c r="P2864" s="16"/>
    </row>
    <row r="2865" spans="5:16" hidden="1" x14ac:dyDescent="0.25">
      <c r="E2865" s="43">
        <f>COUNTIF($O$7:O2865,FORMULARIO!$AA$2)</f>
        <v>1</v>
      </c>
      <c r="M2865" s="46"/>
      <c r="P2865" s="16"/>
    </row>
    <row r="2866" spans="5:16" hidden="1" x14ac:dyDescent="0.25">
      <c r="E2866" s="43">
        <f>COUNTIF($O$7:O2866,FORMULARIO!$AA$2)</f>
        <v>1</v>
      </c>
      <c r="M2866" s="46"/>
      <c r="P2866" s="16"/>
    </row>
    <row r="2867" spans="5:16" hidden="1" x14ac:dyDescent="0.25">
      <c r="E2867" s="43">
        <f>COUNTIF($O$7:O2867,FORMULARIO!$AA$2)</f>
        <v>1</v>
      </c>
      <c r="M2867" s="46"/>
      <c r="P2867" s="16"/>
    </row>
    <row r="2868" spans="5:16" hidden="1" x14ac:dyDescent="0.25">
      <c r="E2868" s="43">
        <f>COUNTIF($O$7:O2868,FORMULARIO!$AA$2)</f>
        <v>1</v>
      </c>
      <c r="M2868" s="46"/>
      <c r="P2868" s="16"/>
    </row>
    <row r="2869" spans="5:16" hidden="1" x14ac:dyDescent="0.25">
      <c r="E2869" s="43">
        <f>COUNTIF($O$7:O2869,FORMULARIO!$AA$2)</f>
        <v>1</v>
      </c>
      <c r="M2869" s="46"/>
      <c r="P2869" s="16"/>
    </row>
    <row r="2870" spans="5:16" hidden="1" x14ac:dyDescent="0.25">
      <c r="E2870" s="43">
        <f>COUNTIF($O$7:O2870,FORMULARIO!$AA$2)</f>
        <v>1</v>
      </c>
      <c r="M2870" s="46"/>
      <c r="P2870" s="16"/>
    </row>
    <row r="2871" spans="5:16" hidden="1" x14ac:dyDescent="0.25">
      <c r="E2871" s="43">
        <f>COUNTIF($O$7:O2871,FORMULARIO!$AA$2)</f>
        <v>1</v>
      </c>
      <c r="M2871" s="46"/>
      <c r="P2871" s="16"/>
    </row>
    <row r="2872" spans="5:16" hidden="1" x14ac:dyDescent="0.25">
      <c r="E2872" s="43">
        <f>COUNTIF($O$7:O2872,FORMULARIO!$AA$2)</f>
        <v>1</v>
      </c>
      <c r="M2872" s="46"/>
      <c r="P2872" s="16"/>
    </row>
    <row r="2873" spans="5:16" hidden="1" x14ac:dyDescent="0.25">
      <c r="E2873" s="43">
        <f>COUNTIF($O$7:O2873,FORMULARIO!$AA$2)</f>
        <v>1</v>
      </c>
      <c r="M2873" s="46"/>
      <c r="P2873" s="16"/>
    </row>
    <row r="2874" spans="5:16" hidden="1" x14ac:dyDescent="0.25">
      <c r="E2874" s="43">
        <f>COUNTIF($O$7:O2874,FORMULARIO!$AA$2)</f>
        <v>1</v>
      </c>
      <c r="M2874" s="46"/>
      <c r="P2874" s="16"/>
    </row>
    <row r="2875" spans="5:16" hidden="1" x14ac:dyDescent="0.25">
      <c r="E2875" s="43">
        <f>COUNTIF($O$7:O2875,FORMULARIO!$AA$2)</f>
        <v>1</v>
      </c>
      <c r="M2875" s="46"/>
      <c r="P2875" s="16"/>
    </row>
    <row r="2876" spans="5:16" hidden="1" x14ac:dyDescent="0.25">
      <c r="E2876" s="43">
        <f>COUNTIF($O$7:O2876,FORMULARIO!$AA$2)</f>
        <v>1</v>
      </c>
      <c r="M2876" s="46"/>
      <c r="P2876" s="16"/>
    </row>
    <row r="2877" spans="5:16" hidden="1" x14ac:dyDescent="0.25">
      <c r="E2877" s="43">
        <f>COUNTIF($O$7:O2877,FORMULARIO!$AA$2)</f>
        <v>1</v>
      </c>
      <c r="M2877" s="46"/>
      <c r="P2877" s="16"/>
    </row>
    <row r="2878" spans="5:16" hidden="1" x14ac:dyDescent="0.25">
      <c r="E2878" s="43">
        <f>COUNTIF($O$7:O2878,FORMULARIO!$AA$2)</f>
        <v>1</v>
      </c>
      <c r="M2878" s="46"/>
      <c r="P2878" s="16"/>
    </row>
    <row r="2879" spans="5:16" hidden="1" x14ac:dyDescent="0.25">
      <c r="E2879" s="43">
        <f>COUNTIF($O$7:O2879,FORMULARIO!$AA$2)</f>
        <v>1</v>
      </c>
      <c r="M2879" s="46"/>
      <c r="P2879" s="16"/>
    </row>
    <row r="2880" spans="5:16" hidden="1" x14ac:dyDescent="0.25">
      <c r="E2880" s="43">
        <f>COUNTIF($O$7:O2880,FORMULARIO!$AA$2)</f>
        <v>1</v>
      </c>
      <c r="M2880" s="46"/>
      <c r="P2880" s="16"/>
    </row>
    <row r="2881" spans="5:16" hidden="1" x14ac:dyDescent="0.25">
      <c r="E2881" s="43">
        <f>COUNTIF($O$7:O2881,FORMULARIO!$AA$2)</f>
        <v>1</v>
      </c>
      <c r="M2881" s="46"/>
      <c r="P2881" s="16"/>
    </row>
    <row r="2882" spans="5:16" hidden="1" x14ac:dyDescent="0.25">
      <c r="E2882" s="43">
        <f>COUNTIF($O$7:O2882,FORMULARIO!$AA$2)</f>
        <v>1</v>
      </c>
      <c r="M2882" s="46"/>
      <c r="P2882" s="16"/>
    </row>
    <row r="2883" spans="5:16" hidden="1" x14ac:dyDescent="0.25">
      <c r="E2883" s="43">
        <f>COUNTIF($O$7:O2883,FORMULARIO!$AA$2)</f>
        <v>1</v>
      </c>
      <c r="M2883" s="46"/>
      <c r="P2883" s="16"/>
    </row>
    <row r="2884" spans="5:16" hidden="1" x14ac:dyDescent="0.25">
      <c r="E2884" s="43">
        <f>COUNTIF($O$7:O2884,FORMULARIO!$AA$2)</f>
        <v>1</v>
      </c>
      <c r="M2884" s="46"/>
      <c r="P2884" s="16"/>
    </row>
    <row r="2885" spans="5:16" hidden="1" x14ac:dyDescent="0.25">
      <c r="E2885" s="43">
        <f>COUNTIF($O$7:O2885,FORMULARIO!$AA$2)</f>
        <v>1</v>
      </c>
      <c r="M2885" s="46"/>
      <c r="P2885" s="16"/>
    </row>
    <row r="2886" spans="5:16" hidden="1" x14ac:dyDescent="0.25">
      <c r="E2886" s="43">
        <f>COUNTIF($O$7:O2886,FORMULARIO!$AA$2)</f>
        <v>1</v>
      </c>
      <c r="M2886" s="46"/>
      <c r="P2886" s="16"/>
    </row>
    <row r="2887" spans="5:16" hidden="1" x14ac:dyDescent="0.25">
      <c r="E2887" s="43">
        <f>COUNTIF($O$7:O2887,FORMULARIO!$AA$2)</f>
        <v>1</v>
      </c>
      <c r="M2887" s="46"/>
      <c r="P2887" s="16"/>
    </row>
    <row r="2888" spans="5:16" hidden="1" x14ac:dyDescent="0.25">
      <c r="E2888" s="43">
        <f>COUNTIF($O$7:O2888,FORMULARIO!$AA$2)</f>
        <v>1</v>
      </c>
      <c r="M2888" s="46"/>
      <c r="P2888" s="16"/>
    </row>
    <row r="2889" spans="5:16" hidden="1" x14ac:dyDescent="0.25">
      <c r="E2889" s="43">
        <f>COUNTIF($O$7:O2889,FORMULARIO!$AA$2)</f>
        <v>1</v>
      </c>
      <c r="M2889" s="46"/>
      <c r="P2889" s="16"/>
    </row>
    <row r="2890" spans="5:16" hidden="1" x14ac:dyDescent="0.25">
      <c r="E2890" s="43">
        <f>COUNTIF($O$7:O2890,FORMULARIO!$AA$2)</f>
        <v>1</v>
      </c>
      <c r="M2890" s="46"/>
      <c r="P2890" s="16"/>
    </row>
    <row r="2891" spans="5:16" hidden="1" x14ac:dyDescent="0.25">
      <c r="E2891" s="43">
        <f>COUNTIF($O$7:O2891,FORMULARIO!$AA$2)</f>
        <v>1</v>
      </c>
      <c r="M2891" s="46"/>
      <c r="P2891" s="16"/>
    </row>
    <row r="2892" spans="5:16" hidden="1" x14ac:dyDescent="0.25">
      <c r="E2892" s="43">
        <f>COUNTIF($O$7:O2892,FORMULARIO!$AA$2)</f>
        <v>1</v>
      </c>
      <c r="M2892" s="46"/>
      <c r="P2892" s="16"/>
    </row>
    <row r="2893" spans="5:16" hidden="1" x14ac:dyDescent="0.25">
      <c r="E2893" s="43">
        <f>COUNTIF($O$7:O2893,FORMULARIO!$AA$2)</f>
        <v>1</v>
      </c>
      <c r="M2893" s="46"/>
      <c r="P2893" s="16"/>
    </row>
    <row r="2894" spans="5:16" hidden="1" x14ac:dyDescent="0.25">
      <c r="E2894" s="43">
        <f>COUNTIF($O$7:O2894,FORMULARIO!$AA$2)</f>
        <v>1</v>
      </c>
      <c r="M2894" s="46"/>
      <c r="P2894" s="16"/>
    </row>
    <row r="2895" spans="5:16" hidden="1" x14ac:dyDescent="0.25">
      <c r="E2895" s="43">
        <f>COUNTIF($O$7:O2895,FORMULARIO!$AA$2)</f>
        <v>1</v>
      </c>
      <c r="M2895" s="46"/>
      <c r="P2895" s="16"/>
    </row>
    <row r="2896" spans="5:16" hidden="1" x14ac:dyDescent="0.25">
      <c r="E2896" s="43">
        <f>COUNTIF($O$7:O2896,FORMULARIO!$AA$2)</f>
        <v>1</v>
      </c>
      <c r="M2896" s="46"/>
      <c r="P2896" s="16"/>
    </row>
    <row r="2897" spans="5:16" hidden="1" x14ac:dyDescent="0.25">
      <c r="E2897" s="43">
        <f>COUNTIF($O$7:O2897,FORMULARIO!$AA$2)</f>
        <v>1</v>
      </c>
      <c r="M2897" s="46"/>
      <c r="P2897" s="16"/>
    </row>
    <row r="2898" spans="5:16" hidden="1" x14ac:dyDescent="0.25">
      <c r="E2898" s="43">
        <f>COUNTIF($O$7:O2898,FORMULARIO!$AA$2)</f>
        <v>1</v>
      </c>
      <c r="M2898" s="46"/>
      <c r="P2898" s="16"/>
    </row>
    <row r="2899" spans="5:16" hidden="1" x14ac:dyDescent="0.25">
      <c r="E2899" s="43">
        <f>COUNTIF($O$7:O2899,FORMULARIO!$AA$2)</f>
        <v>1</v>
      </c>
      <c r="M2899" s="46"/>
      <c r="P2899" s="16"/>
    </row>
    <row r="2900" spans="5:16" hidden="1" x14ac:dyDescent="0.25">
      <c r="E2900" s="43">
        <f>COUNTIF($O$7:O2900,FORMULARIO!$AA$2)</f>
        <v>1</v>
      </c>
      <c r="M2900" s="46"/>
      <c r="P2900" s="16"/>
    </row>
    <row r="2901" spans="5:16" hidden="1" x14ac:dyDescent="0.25">
      <c r="E2901" s="43">
        <f>COUNTIF($O$7:O2901,FORMULARIO!$AA$2)</f>
        <v>1</v>
      </c>
      <c r="M2901" s="46"/>
      <c r="P2901" s="16"/>
    </row>
    <row r="2902" spans="5:16" hidden="1" x14ac:dyDescent="0.25">
      <c r="E2902" s="43">
        <f>COUNTIF($O$7:O2902,FORMULARIO!$AA$2)</f>
        <v>1</v>
      </c>
      <c r="M2902" s="46"/>
      <c r="P2902" s="16"/>
    </row>
    <row r="2903" spans="5:16" hidden="1" x14ac:dyDescent="0.25">
      <c r="E2903" s="43">
        <f>COUNTIF($O$7:O2903,FORMULARIO!$AA$2)</f>
        <v>1</v>
      </c>
      <c r="M2903" s="46"/>
      <c r="P2903" s="16"/>
    </row>
    <row r="2904" spans="5:16" hidden="1" x14ac:dyDescent="0.25">
      <c r="E2904" s="43">
        <f>COUNTIF($O$7:O2904,FORMULARIO!$AA$2)</f>
        <v>1</v>
      </c>
      <c r="M2904" s="46"/>
      <c r="P2904" s="16"/>
    </row>
    <row r="2905" spans="5:16" hidden="1" x14ac:dyDescent="0.25">
      <c r="E2905" s="43">
        <f>COUNTIF($O$7:O2905,FORMULARIO!$AA$2)</f>
        <v>1</v>
      </c>
      <c r="M2905" s="46"/>
      <c r="P2905" s="16"/>
    </row>
    <row r="2906" spans="5:16" hidden="1" x14ac:dyDescent="0.25">
      <c r="E2906" s="43">
        <f>COUNTIF($O$7:O2906,FORMULARIO!$AA$2)</f>
        <v>1</v>
      </c>
      <c r="M2906" s="46"/>
      <c r="P2906" s="16"/>
    </row>
    <row r="2907" spans="5:16" hidden="1" x14ac:dyDescent="0.25">
      <c r="E2907" s="43">
        <f>COUNTIF($O$7:O2907,FORMULARIO!$AA$2)</f>
        <v>1</v>
      </c>
      <c r="M2907" s="46"/>
      <c r="P2907" s="16"/>
    </row>
    <row r="2908" spans="5:16" hidden="1" x14ac:dyDescent="0.25">
      <c r="E2908" s="43">
        <f>COUNTIF($O$7:O2908,FORMULARIO!$AA$2)</f>
        <v>1</v>
      </c>
      <c r="M2908" s="46"/>
      <c r="P2908" s="16"/>
    </row>
    <row r="2909" spans="5:16" hidden="1" x14ac:dyDescent="0.25">
      <c r="E2909" s="43">
        <f>COUNTIF($O$7:O2909,FORMULARIO!$AA$2)</f>
        <v>1</v>
      </c>
      <c r="M2909" s="46"/>
      <c r="P2909" s="16"/>
    </row>
    <row r="2910" spans="5:16" hidden="1" x14ac:dyDescent="0.25">
      <c r="E2910" s="43">
        <f>COUNTIF($O$7:O2910,FORMULARIO!$AA$2)</f>
        <v>1</v>
      </c>
      <c r="M2910" s="46"/>
      <c r="P2910" s="16"/>
    </row>
    <row r="2911" spans="5:16" hidden="1" x14ac:dyDescent="0.25">
      <c r="E2911" s="43">
        <f>COUNTIF($O$7:O2911,FORMULARIO!$AA$2)</f>
        <v>1</v>
      </c>
      <c r="M2911" s="46"/>
      <c r="P2911" s="16"/>
    </row>
    <row r="2912" spans="5:16" hidden="1" x14ac:dyDescent="0.25">
      <c r="E2912" s="43">
        <f>COUNTIF($O$7:O2912,FORMULARIO!$AA$2)</f>
        <v>1</v>
      </c>
      <c r="M2912" s="46"/>
      <c r="P2912" s="16"/>
    </row>
    <row r="2913" spans="5:16" hidden="1" x14ac:dyDescent="0.25">
      <c r="E2913" s="43">
        <f>COUNTIF($O$7:O2913,FORMULARIO!$AA$2)</f>
        <v>1</v>
      </c>
      <c r="M2913" s="46"/>
      <c r="P2913" s="16"/>
    </row>
    <row r="2914" spans="5:16" hidden="1" x14ac:dyDescent="0.25">
      <c r="E2914" s="43">
        <f>COUNTIF($O$7:O2914,FORMULARIO!$AA$2)</f>
        <v>1</v>
      </c>
      <c r="M2914" s="46"/>
      <c r="P2914" s="16"/>
    </row>
    <row r="2915" spans="5:16" hidden="1" x14ac:dyDescent="0.25">
      <c r="E2915" s="43">
        <f>COUNTIF($O$7:O2915,FORMULARIO!$AA$2)</f>
        <v>1</v>
      </c>
      <c r="M2915" s="46"/>
      <c r="P2915" s="16"/>
    </row>
    <row r="2916" spans="5:16" hidden="1" x14ac:dyDescent="0.25">
      <c r="E2916" s="43">
        <f>COUNTIF($O$7:O2916,FORMULARIO!$AA$2)</f>
        <v>1</v>
      </c>
      <c r="M2916" s="46"/>
      <c r="P2916" s="16"/>
    </row>
    <row r="2917" spans="5:16" hidden="1" x14ac:dyDescent="0.25">
      <c r="E2917" s="43">
        <f>COUNTIF($O$7:O2917,FORMULARIO!$AA$2)</f>
        <v>1</v>
      </c>
      <c r="M2917" s="46"/>
      <c r="P2917" s="16"/>
    </row>
    <row r="2918" spans="5:16" hidden="1" x14ac:dyDescent="0.25">
      <c r="E2918" s="43">
        <f>COUNTIF($O$7:O2918,FORMULARIO!$AA$2)</f>
        <v>1</v>
      </c>
      <c r="M2918" s="46"/>
      <c r="P2918" s="16"/>
    </row>
    <row r="2919" spans="5:16" hidden="1" x14ac:dyDescent="0.25">
      <c r="E2919" s="43">
        <f>COUNTIF($O$7:O2919,FORMULARIO!$AA$2)</f>
        <v>1</v>
      </c>
      <c r="M2919" s="46"/>
      <c r="P2919" s="16"/>
    </row>
    <row r="2920" spans="5:16" hidden="1" x14ac:dyDescent="0.25">
      <c r="E2920" s="43">
        <f>COUNTIF($O$7:O2920,FORMULARIO!$AA$2)</f>
        <v>1</v>
      </c>
      <c r="M2920" s="46"/>
      <c r="P2920" s="16"/>
    </row>
    <row r="2921" spans="5:16" hidden="1" x14ac:dyDescent="0.25">
      <c r="E2921" s="43">
        <f>COUNTIF($O$7:O2921,FORMULARIO!$AA$2)</f>
        <v>1</v>
      </c>
      <c r="M2921" s="46"/>
      <c r="P2921" s="16"/>
    </row>
    <row r="2922" spans="5:16" hidden="1" x14ac:dyDescent="0.25">
      <c r="E2922" s="43">
        <f>COUNTIF($O$7:O2922,FORMULARIO!$AA$2)</f>
        <v>1</v>
      </c>
      <c r="M2922" s="46"/>
      <c r="P2922" s="16"/>
    </row>
    <row r="2923" spans="5:16" hidden="1" x14ac:dyDescent="0.25">
      <c r="E2923" s="43">
        <f>COUNTIF($O$7:O2923,FORMULARIO!$AA$2)</f>
        <v>1</v>
      </c>
      <c r="M2923" s="46"/>
      <c r="P2923" s="16"/>
    </row>
    <row r="2924" spans="5:16" hidden="1" x14ac:dyDescent="0.25">
      <c r="E2924" s="43">
        <f>COUNTIF($O$7:O2924,FORMULARIO!$AA$2)</f>
        <v>1</v>
      </c>
      <c r="M2924" s="46"/>
      <c r="P2924" s="16"/>
    </row>
    <row r="2925" spans="5:16" hidden="1" x14ac:dyDescent="0.25">
      <c r="E2925" s="43">
        <f>COUNTIF($O$7:O2925,FORMULARIO!$AA$2)</f>
        <v>1</v>
      </c>
      <c r="M2925" s="46"/>
      <c r="P2925" s="16"/>
    </row>
    <row r="2926" spans="5:16" hidden="1" x14ac:dyDescent="0.25">
      <c r="E2926" s="43">
        <f>COUNTIF($O$7:O2926,FORMULARIO!$AA$2)</f>
        <v>1</v>
      </c>
      <c r="M2926" s="46"/>
      <c r="P2926" s="16"/>
    </row>
    <row r="2927" spans="5:16" hidden="1" x14ac:dyDescent="0.25">
      <c r="E2927" s="43">
        <f>COUNTIF($O$7:O2927,FORMULARIO!$AA$2)</f>
        <v>1</v>
      </c>
      <c r="M2927" s="46"/>
      <c r="P2927" s="16"/>
    </row>
    <row r="2928" spans="5:16" hidden="1" x14ac:dyDescent="0.25">
      <c r="E2928" s="43">
        <f>COUNTIF($O$7:O2928,FORMULARIO!$AA$2)</f>
        <v>1</v>
      </c>
      <c r="M2928" s="46"/>
      <c r="P2928" s="16"/>
    </row>
    <row r="2929" spans="5:16" hidden="1" x14ac:dyDescent="0.25">
      <c r="E2929" s="43">
        <f>COUNTIF($O$7:O2929,FORMULARIO!$AA$2)</f>
        <v>1</v>
      </c>
      <c r="M2929" s="46"/>
      <c r="P2929" s="16"/>
    </row>
    <row r="2930" spans="5:16" hidden="1" x14ac:dyDescent="0.25">
      <c r="E2930" s="43">
        <f>COUNTIF($O$7:O2930,FORMULARIO!$AA$2)</f>
        <v>1</v>
      </c>
      <c r="M2930" s="46"/>
      <c r="P2930" s="16"/>
    </row>
    <row r="2931" spans="5:16" hidden="1" x14ac:dyDescent="0.25">
      <c r="E2931" s="43">
        <f>COUNTIF($O$7:O2931,FORMULARIO!$AA$2)</f>
        <v>1</v>
      </c>
      <c r="M2931" s="46"/>
      <c r="P2931" s="16"/>
    </row>
    <row r="2932" spans="5:16" hidden="1" x14ac:dyDescent="0.25">
      <c r="E2932" s="43">
        <f>COUNTIF($O$7:O2932,FORMULARIO!$AA$2)</f>
        <v>1</v>
      </c>
      <c r="M2932" s="46"/>
      <c r="P2932" s="16"/>
    </row>
    <row r="2933" spans="5:16" hidden="1" x14ac:dyDescent="0.25">
      <c r="E2933" s="43">
        <f>COUNTIF($O$7:O2933,FORMULARIO!$AA$2)</f>
        <v>1</v>
      </c>
      <c r="M2933" s="46"/>
      <c r="P2933" s="16"/>
    </row>
    <row r="2934" spans="5:16" hidden="1" x14ac:dyDescent="0.25">
      <c r="E2934" s="43">
        <f>COUNTIF($O$7:O2934,FORMULARIO!$AA$2)</f>
        <v>1</v>
      </c>
      <c r="M2934" s="46"/>
      <c r="P2934" s="16"/>
    </row>
    <row r="2935" spans="5:16" hidden="1" x14ac:dyDescent="0.25">
      <c r="E2935" s="43">
        <f>COUNTIF($O$7:O2935,FORMULARIO!$AA$2)</f>
        <v>1</v>
      </c>
      <c r="M2935" s="46"/>
      <c r="P2935" s="16"/>
    </row>
    <row r="2936" spans="5:16" hidden="1" x14ac:dyDescent="0.25">
      <c r="E2936" s="43">
        <f>COUNTIF($O$7:O2936,FORMULARIO!$AA$2)</f>
        <v>1</v>
      </c>
      <c r="M2936" s="46"/>
      <c r="P2936" s="16"/>
    </row>
    <row r="2937" spans="5:16" hidden="1" x14ac:dyDescent="0.25">
      <c r="E2937" s="43">
        <f>COUNTIF($O$7:O2937,FORMULARIO!$AA$2)</f>
        <v>1</v>
      </c>
      <c r="M2937" s="46"/>
      <c r="P2937" s="16"/>
    </row>
    <row r="2938" spans="5:16" hidden="1" x14ac:dyDescent="0.25">
      <c r="E2938" s="43">
        <f>COUNTIF($O$7:O2938,FORMULARIO!$AA$2)</f>
        <v>1</v>
      </c>
      <c r="M2938" s="46"/>
      <c r="P2938" s="16"/>
    </row>
    <row r="2939" spans="5:16" hidden="1" x14ac:dyDescent="0.25">
      <c r="E2939" s="43">
        <f>COUNTIF($O$7:O2939,FORMULARIO!$AA$2)</f>
        <v>1</v>
      </c>
      <c r="M2939" s="46"/>
      <c r="P2939" s="16"/>
    </row>
    <row r="2940" spans="5:16" hidden="1" x14ac:dyDescent="0.25">
      <c r="E2940" s="43">
        <f>COUNTIF($O$7:O2940,FORMULARIO!$AA$2)</f>
        <v>1</v>
      </c>
      <c r="M2940" s="46"/>
      <c r="P2940" s="16"/>
    </row>
    <row r="2941" spans="5:16" hidden="1" x14ac:dyDescent="0.25">
      <c r="E2941" s="43">
        <f>COUNTIF($O$7:O2941,FORMULARIO!$AA$2)</f>
        <v>1</v>
      </c>
      <c r="M2941" s="46"/>
      <c r="P2941" s="16"/>
    </row>
    <row r="2942" spans="5:16" hidden="1" x14ac:dyDescent="0.25">
      <c r="E2942" s="43">
        <f>COUNTIF($O$7:O2942,FORMULARIO!$AA$2)</f>
        <v>1</v>
      </c>
      <c r="M2942" s="46"/>
      <c r="P2942" s="16"/>
    </row>
    <row r="2943" spans="5:16" hidden="1" x14ac:dyDescent="0.25">
      <c r="E2943" s="43">
        <f>COUNTIF($O$7:O2943,FORMULARIO!$AA$2)</f>
        <v>1</v>
      </c>
      <c r="M2943" s="46"/>
      <c r="P2943" s="16"/>
    </row>
    <row r="2944" spans="5:16" hidden="1" x14ac:dyDescent="0.25">
      <c r="E2944" s="43">
        <f>COUNTIF($O$7:O2944,FORMULARIO!$AA$2)</f>
        <v>1</v>
      </c>
      <c r="M2944" s="46"/>
      <c r="P2944" s="16"/>
    </row>
    <row r="2945" spans="5:16" hidden="1" x14ac:dyDescent="0.25">
      <c r="E2945" s="43">
        <f>COUNTIF($O$7:O2945,FORMULARIO!$AA$2)</f>
        <v>1</v>
      </c>
      <c r="M2945" s="46"/>
      <c r="P2945" s="16"/>
    </row>
    <row r="2946" spans="5:16" hidden="1" x14ac:dyDescent="0.25">
      <c r="E2946" s="43">
        <f>COUNTIF($O$7:O2946,FORMULARIO!$AA$2)</f>
        <v>1</v>
      </c>
      <c r="M2946" s="46"/>
      <c r="P2946" s="16"/>
    </row>
    <row r="2947" spans="5:16" hidden="1" x14ac:dyDescent="0.25">
      <c r="E2947" s="43">
        <f>COUNTIF($O$7:O2947,FORMULARIO!$AA$2)</f>
        <v>1</v>
      </c>
      <c r="M2947" s="46"/>
      <c r="P2947" s="16"/>
    </row>
    <row r="2948" spans="5:16" hidden="1" x14ac:dyDescent="0.25">
      <c r="E2948" s="43">
        <f>COUNTIF($O$7:O2948,FORMULARIO!$AA$2)</f>
        <v>1</v>
      </c>
      <c r="M2948" s="46"/>
      <c r="P2948" s="16"/>
    </row>
    <row r="2949" spans="5:16" hidden="1" x14ac:dyDescent="0.25">
      <c r="E2949" s="43">
        <f>COUNTIF($O$7:O2949,FORMULARIO!$AA$2)</f>
        <v>1</v>
      </c>
      <c r="M2949" s="46"/>
      <c r="P2949" s="16"/>
    </row>
    <row r="2950" spans="5:16" hidden="1" x14ac:dyDescent="0.25">
      <c r="E2950" s="43">
        <f>COUNTIF($O$7:O2950,FORMULARIO!$AA$2)</f>
        <v>1</v>
      </c>
      <c r="M2950" s="46"/>
      <c r="P2950" s="16"/>
    </row>
    <row r="2951" spans="5:16" hidden="1" x14ac:dyDescent="0.25">
      <c r="E2951" s="43">
        <f>COUNTIF($O$7:O2951,FORMULARIO!$AA$2)</f>
        <v>1</v>
      </c>
      <c r="M2951" s="46"/>
      <c r="P2951" s="16"/>
    </row>
    <row r="2952" spans="5:16" hidden="1" x14ac:dyDescent="0.25">
      <c r="E2952" s="43">
        <f>COUNTIF($O$7:O2952,FORMULARIO!$AA$2)</f>
        <v>1</v>
      </c>
      <c r="M2952" s="46"/>
      <c r="P2952" s="16"/>
    </row>
    <row r="2953" spans="5:16" hidden="1" x14ac:dyDescent="0.25">
      <c r="E2953" s="43">
        <f>COUNTIF($O$7:O2953,FORMULARIO!$AA$2)</f>
        <v>1</v>
      </c>
      <c r="M2953" s="46"/>
      <c r="P2953" s="16"/>
    </row>
    <row r="2954" spans="5:16" hidden="1" x14ac:dyDescent="0.25">
      <c r="E2954" s="43">
        <f>COUNTIF($O$7:O2954,FORMULARIO!$AA$2)</f>
        <v>1</v>
      </c>
      <c r="M2954" s="46"/>
      <c r="P2954" s="16"/>
    </row>
    <row r="2955" spans="5:16" hidden="1" x14ac:dyDescent="0.25">
      <c r="E2955" s="43">
        <f>COUNTIF($O$7:O2955,FORMULARIO!$AA$2)</f>
        <v>1</v>
      </c>
      <c r="M2955" s="46"/>
      <c r="P2955" s="16"/>
    </row>
    <row r="2956" spans="5:16" hidden="1" x14ac:dyDescent="0.25">
      <c r="E2956" s="43">
        <f>COUNTIF($O$7:O2956,FORMULARIO!$AA$2)</f>
        <v>1</v>
      </c>
      <c r="M2956" s="46"/>
      <c r="P2956" s="16"/>
    </row>
    <row r="2957" spans="5:16" hidden="1" x14ac:dyDescent="0.25">
      <c r="E2957" s="43">
        <f>COUNTIF($O$7:O2957,FORMULARIO!$AA$2)</f>
        <v>1</v>
      </c>
      <c r="M2957" s="46"/>
      <c r="P2957" s="16"/>
    </row>
    <row r="2958" spans="5:16" hidden="1" x14ac:dyDescent="0.25">
      <c r="E2958" s="43">
        <f>COUNTIF($O$7:O2958,FORMULARIO!$AA$2)</f>
        <v>1</v>
      </c>
      <c r="M2958" s="46"/>
      <c r="P2958" s="16"/>
    </row>
    <row r="2959" spans="5:16" hidden="1" x14ac:dyDescent="0.25">
      <c r="E2959" s="43">
        <f>COUNTIF($O$7:O2959,FORMULARIO!$AA$2)</f>
        <v>1</v>
      </c>
      <c r="M2959" s="46"/>
      <c r="P2959" s="16"/>
    </row>
    <row r="2960" spans="5:16" hidden="1" x14ac:dyDescent="0.25">
      <c r="E2960" s="43">
        <f>COUNTIF($O$7:O2960,FORMULARIO!$AA$2)</f>
        <v>1</v>
      </c>
      <c r="M2960" s="46"/>
      <c r="P2960" s="16"/>
    </row>
    <row r="2961" spans="5:16" hidden="1" x14ac:dyDescent="0.25">
      <c r="E2961" s="43">
        <f>COUNTIF($O$7:O2961,FORMULARIO!$AA$2)</f>
        <v>1</v>
      </c>
      <c r="M2961" s="46"/>
      <c r="P2961" s="16"/>
    </row>
    <row r="2962" spans="5:16" hidden="1" x14ac:dyDescent="0.25">
      <c r="E2962" s="43">
        <f>COUNTIF($O$7:O2962,FORMULARIO!$AA$2)</f>
        <v>1</v>
      </c>
      <c r="M2962" s="46"/>
      <c r="P2962" s="16"/>
    </row>
    <row r="2963" spans="5:16" hidden="1" x14ac:dyDescent="0.25">
      <c r="E2963" s="43">
        <f>COUNTIF($O$7:O2963,FORMULARIO!$AA$2)</f>
        <v>1</v>
      </c>
      <c r="M2963" s="46"/>
      <c r="P2963" s="16"/>
    </row>
    <row r="2964" spans="5:16" hidden="1" x14ac:dyDescent="0.25">
      <c r="E2964" s="43">
        <f>COUNTIF($O$7:O2964,FORMULARIO!$AA$2)</f>
        <v>1</v>
      </c>
      <c r="M2964" s="46"/>
      <c r="P2964" s="16"/>
    </row>
    <row r="2965" spans="5:16" hidden="1" x14ac:dyDescent="0.25">
      <c r="E2965" s="43">
        <f>COUNTIF($O$7:O2965,FORMULARIO!$AA$2)</f>
        <v>1</v>
      </c>
      <c r="M2965" s="46"/>
      <c r="P2965" s="16"/>
    </row>
    <row r="2966" spans="5:16" hidden="1" x14ac:dyDescent="0.25">
      <c r="E2966" s="43">
        <f>COUNTIF($O$7:O2966,FORMULARIO!$AA$2)</f>
        <v>1</v>
      </c>
      <c r="M2966" s="46"/>
      <c r="P2966" s="16"/>
    </row>
    <row r="2967" spans="5:16" hidden="1" x14ac:dyDescent="0.25">
      <c r="E2967" s="43">
        <f>COUNTIF($O$7:O2967,FORMULARIO!$AA$2)</f>
        <v>1</v>
      </c>
      <c r="M2967" s="46"/>
      <c r="P2967" s="16"/>
    </row>
    <row r="2968" spans="5:16" hidden="1" x14ac:dyDescent="0.25">
      <c r="E2968" s="43">
        <f>COUNTIF($O$7:O2968,FORMULARIO!$AA$2)</f>
        <v>1</v>
      </c>
      <c r="M2968" s="46"/>
      <c r="P2968" s="16"/>
    </row>
    <row r="2969" spans="5:16" hidden="1" x14ac:dyDescent="0.25">
      <c r="E2969" s="43">
        <f>COUNTIF($O$7:O2969,FORMULARIO!$AA$2)</f>
        <v>1</v>
      </c>
      <c r="M2969" s="46"/>
      <c r="P2969" s="16"/>
    </row>
    <row r="2970" spans="5:16" hidden="1" x14ac:dyDescent="0.25">
      <c r="E2970" s="43">
        <f>COUNTIF($O$7:O2970,FORMULARIO!$AA$2)</f>
        <v>1</v>
      </c>
      <c r="M2970" s="46"/>
      <c r="P2970" s="16"/>
    </row>
    <row r="2971" spans="5:16" hidden="1" x14ac:dyDescent="0.25">
      <c r="E2971" s="43">
        <f>COUNTIF($O$7:O2971,FORMULARIO!$AA$2)</f>
        <v>1</v>
      </c>
      <c r="M2971" s="46"/>
      <c r="P2971" s="16"/>
    </row>
    <row r="2972" spans="5:16" hidden="1" x14ac:dyDescent="0.25">
      <c r="E2972" s="43">
        <f>COUNTIF($O$7:O2972,FORMULARIO!$AA$2)</f>
        <v>1</v>
      </c>
      <c r="M2972" s="46"/>
      <c r="P2972" s="16"/>
    </row>
    <row r="2973" spans="5:16" hidden="1" x14ac:dyDescent="0.25">
      <c r="E2973" s="43">
        <f>COUNTIF($O$7:O2973,FORMULARIO!$AA$2)</f>
        <v>1</v>
      </c>
      <c r="M2973" s="46"/>
      <c r="P2973" s="16"/>
    </row>
    <row r="2974" spans="5:16" hidden="1" x14ac:dyDescent="0.25">
      <c r="E2974" s="43">
        <f>COUNTIF($O$7:O2974,FORMULARIO!$AA$2)</f>
        <v>1</v>
      </c>
      <c r="M2974" s="46"/>
      <c r="P2974" s="16"/>
    </row>
    <row r="2975" spans="5:16" hidden="1" x14ac:dyDescent="0.25">
      <c r="E2975" s="43">
        <f>COUNTIF($O$7:O2975,FORMULARIO!$AA$2)</f>
        <v>1</v>
      </c>
      <c r="M2975" s="46"/>
      <c r="P2975" s="16"/>
    </row>
    <row r="2976" spans="5:16" hidden="1" x14ac:dyDescent="0.25">
      <c r="E2976" s="43">
        <f>COUNTIF($O$7:O2976,FORMULARIO!$AA$2)</f>
        <v>1</v>
      </c>
      <c r="M2976" s="46"/>
      <c r="P2976" s="16"/>
    </row>
    <row r="2977" spans="5:16" hidden="1" x14ac:dyDescent="0.25">
      <c r="E2977" s="43">
        <f>COUNTIF($O$7:O2977,FORMULARIO!$AA$2)</f>
        <v>1</v>
      </c>
      <c r="M2977" s="46"/>
      <c r="P2977" s="16"/>
    </row>
    <row r="2978" spans="5:16" hidden="1" x14ac:dyDescent="0.25">
      <c r="E2978" s="43">
        <f>COUNTIF($O$7:O2978,FORMULARIO!$AA$2)</f>
        <v>1</v>
      </c>
      <c r="M2978" s="46"/>
      <c r="P2978" s="16"/>
    </row>
    <row r="2979" spans="5:16" hidden="1" x14ac:dyDescent="0.25">
      <c r="E2979" s="43">
        <f>COUNTIF($O$7:O2979,FORMULARIO!$AA$2)</f>
        <v>1</v>
      </c>
      <c r="M2979" s="46"/>
      <c r="P2979" s="16"/>
    </row>
    <row r="2980" spans="5:16" hidden="1" x14ac:dyDescent="0.25">
      <c r="E2980" s="43">
        <f>COUNTIF($O$7:O2980,FORMULARIO!$AA$2)</f>
        <v>1</v>
      </c>
      <c r="M2980" s="46"/>
      <c r="P2980" s="16"/>
    </row>
    <row r="2981" spans="5:16" hidden="1" x14ac:dyDescent="0.25">
      <c r="E2981" s="43">
        <f>COUNTIF($O$7:O2981,FORMULARIO!$AA$2)</f>
        <v>1</v>
      </c>
      <c r="M2981" s="46"/>
      <c r="P2981" s="16"/>
    </row>
    <row r="2982" spans="5:16" hidden="1" x14ac:dyDescent="0.25">
      <c r="E2982" s="43">
        <f>COUNTIF($O$7:O2982,FORMULARIO!$AA$2)</f>
        <v>1</v>
      </c>
      <c r="M2982" s="46"/>
      <c r="P2982" s="16"/>
    </row>
    <row r="2983" spans="5:16" hidden="1" x14ac:dyDescent="0.25">
      <c r="E2983" s="43">
        <f>COUNTIF($O$7:O2983,FORMULARIO!$AA$2)</f>
        <v>1</v>
      </c>
      <c r="M2983" s="46"/>
      <c r="P2983" s="16"/>
    </row>
    <row r="2984" spans="5:16" hidden="1" x14ac:dyDescent="0.25">
      <c r="E2984" s="43">
        <f>COUNTIF($O$7:O2984,FORMULARIO!$AA$2)</f>
        <v>1</v>
      </c>
      <c r="M2984" s="46"/>
      <c r="P2984" s="16"/>
    </row>
    <row r="2985" spans="5:16" hidden="1" x14ac:dyDescent="0.25">
      <c r="E2985" s="43">
        <f>COUNTIF($O$7:O2985,FORMULARIO!$AA$2)</f>
        <v>1</v>
      </c>
      <c r="M2985" s="46"/>
      <c r="P2985" s="16"/>
    </row>
    <row r="2986" spans="5:16" hidden="1" x14ac:dyDescent="0.25">
      <c r="E2986" s="43">
        <f>COUNTIF($O$7:O2986,FORMULARIO!$AA$2)</f>
        <v>1</v>
      </c>
      <c r="M2986" s="46"/>
      <c r="P2986" s="16"/>
    </row>
    <row r="2987" spans="5:16" hidden="1" x14ac:dyDescent="0.25">
      <c r="E2987" s="43">
        <f>COUNTIF($O$7:O2987,FORMULARIO!$AA$2)</f>
        <v>1</v>
      </c>
      <c r="M2987" s="46"/>
      <c r="P2987" s="16"/>
    </row>
    <row r="2988" spans="5:16" hidden="1" x14ac:dyDescent="0.25">
      <c r="E2988" s="43">
        <f>COUNTIF($O$7:O2988,FORMULARIO!$AA$2)</f>
        <v>1</v>
      </c>
      <c r="M2988" s="46"/>
      <c r="P2988" s="16"/>
    </row>
    <row r="2989" spans="5:16" hidden="1" x14ac:dyDescent="0.25">
      <c r="E2989" s="43">
        <f>COUNTIF($O$7:O2989,FORMULARIO!$AA$2)</f>
        <v>1</v>
      </c>
      <c r="M2989" s="46"/>
      <c r="P2989" s="16"/>
    </row>
    <row r="2990" spans="5:16" hidden="1" x14ac:dyDescent="0.25">
      <c r="E2990" s="43">
        <f>COUNTIF($O$7:O2990,FORMULARIO!$AA$2)</f>
        <v>1</v>
      </c>
      <c r="M2990" s="46"/>
      <c r="P2990" s="16"/>
    </row>
    <row r="2991" spans="5:16" hidden="1" x14ac:dyDescent="0.25">
      <c r="E2991" s="43">
        <f>COUNTIF($O$7:O2991,FORMULARIO!$AA$2)</f>
        <v>1</v>
      </c>
      <c r="M2991" s="46"/>
      <c r="P2991" s="16"/>
    </row>
    <row r="2992" spans="5:16" hidden="1" x14ac:dyDescent="0.25">
      <c r="E2992" s="43">
        <f>COUNTIF($O$7:O2992,FORMULARIO!$AA$2)</f>
        <v>1</v>
      </c>
      <c r="M2992" s="46"/>
      <c r="P2992" s="16"/>
    </row>
    <row r="2993" spans="5:16" hidden="1" x14ac:dyDescent="0.25">
      <c r="E2993" s="43">
        <f>COUNTIF($O$7:O2993,FORMULARIO!$AA$2)</f>
        <v>1</v>
      </c>
      <c r="M2993" s="46"/>
      <c r="P2993" s="16"/>
    </row>
    <row r="2994" spans="5:16" hidden="1" x14ac:dyDescent="0.25">
      <c r="E2994" s="43">
        <f>COUNTIF($O$7:O2994,FORMULARIO!$AA$2)</f>
        <v>1</v>
      </c>
      <c r="M2994" s="46"/>
      <c r="P2994" s="16"/>
    </row>
    <row r="2995" spans="5:16" hidden="1" x14ac:dyDescent="0.25">
      <c r="E2995" s="43">
        <f>COUNTIF($O$7:O2995,FORMULARIO!$AA$2)</f>
        <v>1</v>
      </c>
      <c r="M2995" s="46"/>
      <c r="P2995" s="16"/>
    </row>
    <row r="2996" spans="5:16" hidden="1" x14ac:dyDescent="0.25">
      <c r="E2996" s="43">
        <f>COUNTIF($O$7:O2996,FORMULARIO!$AA$2)</f>
        <v>1</v>
      </c>
      <c r="M2996" s="46"/>
      <c r="P2996" s="16"/>
    </row>
    <row r="2997" spans="5:16" hidden="1" x14ac:dyDescent="0.25">
      <c r="E2997" s="43">
        <f>COUNTIF($O$7:O2997,FORMULARIO!$AA$2)</f>
        <v>1</v>
      </c>
      <c r="M2997" s="46"/>
      <c r="P2997" s="16"/>
    </row>
    <row r="2998" spans="5:16" hidden="1" x14ac:dyDescent="0.25">
      <c r="E2998" s="43">
        <f>COUNTIF($O$7:O2998,FORMULARIO!$AA$2)</f>
        <v>1</v>
      </c>
      <c r="M2998" s="46"/>
      <c r="P2998" s="16"/>
    </row>
    <row r="2999" spans="5:16" hidden="1" x14ac:dyDescent="0.25">
      <c r="E2999" s="43">
        <f>COUNTIF($O$7:O2999,FORMULARIO!$AA$2)</f>
        <v>1</v>
      </c>
      <c r="M2999" s="46"/>
      <c r="P2999" s="16"/>
    </row>
    <row r="3000" spans="5:16" hidden="1" x14ac:dyDescent="0.25">
      <c r="E3000" s="43">
        <f>COUNTIF($O$7:O3000,FORMULARIO!$AA$2)</f>
        <v>1</v>
      </c>
      <c r="M3000" s="46"/>
      <c r="P3000" s="16"/>
    </row>
    <row r="3001" spans="5:16" hidden="1" x14ac:dyDescent="0.25">
      <c r="E3001" s="43">
        <f>COUNTIF($O$7:O3001,FORMULARIO!$AA$2)</f>
        <v>1</v>
      </c>
      <c r="M3001" s="46"/>
      <c r="P3001" s="16"/>
    </row>
    <row r="3002" spans="5:16" hidden="1" x14ac:dyDescent="0.25">
      <c r="E3002" s="43">
        <f>COUNTIF($O$7:O3002,FORMULARIO!$AA$2)</f>
        <v>1</v>
      </c>
      <c r="M3002" s="46"/>
      <c r="P3002" s="16"/>
    </row>
    <row r="3003" spans="5:16" hidden="1" x14ac:dyDescent="0.25">
      <c r="E3003" s="43">
        <f>COUNTIF($O$7:O3003,FORMULARIO!$AA$2)</f>
        <v>1</v>
      </c>
      <c r="M3003" s="46"/>
      <c r="P3003" s="16"/>
    </row>
    <row r="3004" spans="5:16" hidden="1" x14ac:dyDescent="0.25">
      <c r="E3004" s="43">
        <f>COUNTIF($O$7:O3004,FORMULARIO!$AA$2)</f>
        <v>1</v>
      </c>
      <c r="M3004" s="46"/>
      <c r="P3004" s="16"/>
    </row>
    <row r="3005" spans="5:16" hidden="1" x14ac:dyDescent="0.25">
      <c r="E3005" s="43">
        <f>COUNTIF($O$7:O3005,FORMULARIO!$AA$2)</f>
        <v>1</v>
      </c>
      <c r="M3005" s="46"/>
      <c r="P3005" s="16"/>
    </row>
    <row r="3006" spans="5:16" hidden="1" x14ac:dyDescent="0.25">
      <c r="E3006" s="43">
        <f>COUNTIF($O$7:O3006,FORMULARIO!$AA$2)</f>
        <v>1</v>
      </c>
      <c r="M3006" s="46"/>
      <c r="P3006" s="16"/>
    </row>
    <row r="3007" spans="5:16" hidden="1" x14ac:dyDescent="0.25">
      <c r="E3007" s="43">
        <f>COUNTIF($O$7:O3007,FORMULARIO!$AA$2)</f>
        <v>1</v>
      </c>
      <c r="M3007" s="46"/>
      <c r="P3007" s="16"/>
    </row>
    <row r="3008" spans="5:16" hidden="1" x14ac:dyDescent="0.25">
      <c r="E3008" s="43">
        <f>COUNTIF($O$7:O3008,FORMULARIO!$AA$2)</f>
        <v>1</v>
      </c>
      <c r="M3008" s="46"/>
      <c r="P3008" s="16"/>
    </row>
    <row r="3009" spans="5:16" hidden="1" x14ac:dyDescent="0.25">
      <c r="E3009" s="43">
        <f>COUNTIF($O$7:O3009,FORMULARIO!$AA$2)</f>
        <v>1</v>
      </c>
      <c r="M3009" s="46"/>
      <c r="P3009" s="16"/>
    </row>
    <row r="3010" spans="5:16" hidden="1" x14ac:dyDescent="0.25">
      <c r="E3010" s="43">
        <f>COUNTIF($O$7:O3010,FORMULARIO!$AA$2)</f>
        <v>1</v>
      </c>
      <c r="M3010" s="46"/>
      <c r="P3010" s="16"/>
    </row>
    <row r="3011" spans="5:16" hidden="1" x14ac:dyDescent="0.25">
      <c r="E3011" s="43">
        <f>COUNTIF($O$7:O3011,FORMULARIO!$AA$2)</f>
        <v>1</v>
      </c>
      <c r="M3011" s="46"/>
      <c r="P3011" s="16"/>
    </row>
    <row r="3012" spans="5:16" hidden="1" x14ac:dyDescent="0.25">
      <c r="E3012" s="43">
        <f>COUNTIF($O$7:O3012,FORMULARIO!$AA$2)</f>
        <v>1</v>
      </c>
      <c r="M3012" s="46"/>
      <c r="P3012" s="16"/>
    </row>
    <row r="3013" spans="5:16" hidden="1" x14ac:dyDescent="0.25">
      <c r="E3013" s="43">
        <f>COUNTIF($O$7:O3013,FORMULARIO!$AA$2)</f>
        <v>1</v>
      </c>
      <c r="M3013" s="46"/>
      <c r="P3013" s="16"/>
    </row>
    <row r="3014" spans="5:16" hidden="1" x14ac:dyDescent="0.25">
      <c r="E3014" s="43">
        <f>COUNTIF($O$7:O3014,FORMULARIO!$AA$2)</f>
        <v>1</v>
      </c>
      <c r="M3014" s="46"/>
      <c r="P3014" s="16"/>
    </row>
    <row r="3015" spans="5:16" hidden="1" x14ac:dyDescent="0.25">
      <c r="E3015" s="43">
        <f>COUNTIF($O$7:O3015,FORMULARIO!$AA$2)</f>
        <v>1</v>
      </c>
      <c r="M3015" s="46"/>
      <c r="P3015" s="16"/>
    </row>
    <row r="3016" spans="5:16" hidden="1" x14ac:dyDescent="0.25">
      <c r="E3016" s="43">
        <f>COUNTIF($O$7:O3016,FORMULARIO!$AA$2)</f>
        <v>1</v>
      </c>
      <c r="M3016" s="46"/>
      <c r="P3016" s="16"/>
    </row>
    <row r="3017" spans="5:16" hidden="1" x14ac:dyDescent="0.25">
      <c r="E3017" s="43">
        <f>COUNTIF($O$7:O3017,FORMULARIO!$AA$2)</f>
        <v>1</v>
      </c>
      <c r="M3017" s="46"/>
      <c r="P3017" s="16"/>
    </row>
    <row r="3018" spans="5:16" hidden="1" x14ac:dyDescent="0.25">
      <c r="E3018" s="43">
        <f>COUNTIF($O$7:O3018,FORMULARIO!$AA$2)</f>
        <v>1</v>
      </c>
      <c r="M3018" s="46"/>
      <c r="P3018" s="16"/>
    </row>
    <row r="3019" spans="5:16" hidden="1" x14ac:dyDescent="0.25">
      <c r="E3019" s="43">
        <f>COUNTIF($O$7:O3019,FORMULARIO!$AA$2)</f>
        <v>1</v>
      </c>
      <c r="M3019" s="46"/>
      <c r="P3019" s="16"/>
    </row>
    <row r="3020" spans="5:16" hidden="1" x14ac:dyDescent="0.25">
      <c r="E3020" s="43">
        <f>COUNTIF($O$7:O3020,FORMULARIO!$AA$2)</f>
        <v>1</v>
      </c>
      <c r="M3020" s="46"/>
      <c r="P3020" s="16"/>
    </row>
    <row r="3021" spans="5:16" hidden="1" x14ac:dyDescent="0.25">
      <c r="E3021" s="43">
        <f>COUNTIF($O$7:O3021,FORMULARIO!$AA$2)</f>
        <v>1</v>
      </c>
      <c r="M3021" s="46"/>
      <c r="P3021" s="16"/>
    </row>
    <row r="3022" spans="5:16" hidden="1" x14ac:dyDescent="0.25">
      <c r="E3022" s="43">
        <f>COUNTIF($O$7:O3022,FORMULARIO!$AA$2)</f>
        <v>1</v>
      </c>
      <c r="M3022" s="46"/>
      <c r="P3022" s="16"/>
    </row>
    <row r="3023" spans="5:16" hidden="1" x14ac:dyDescent="0.25">
      <c r="E3023" s="43">
        <f>COUNTIF($O$7:O3023,FORMULARIO!$AA$2)</f>
        <v>1</v>
      </c>
      <c r="M3023" s="46"/>
      <c r="P3023" s="16"/>
    </row>
    <row r="3024" spans="5:16" hidden="1" x14ac:dyDescent="0.25">
      <c r="E3024" s="43">
        <f>COUNTIF($O$7:O3024,FORMULARIO!$AA$2)</f>
        <v>1</v>
      </c>
      <c r="M3024" s="46"/>
      <c r="P3024" s="16"/>
    </row>
    <row r="3025" spans="5:16" hidden="1" x14ac:dyDescent="0.25">
      <c r="E3025" s="43">
        <f>COUNTIF($O$7:O3025,FORMULARIO!$AA$2)</f>
        <v>1</v>
      </c>
      <c r="M3025" s="46"/>
      <c r="P3025" s="16"/>
    </row>
    <row r="3026" spans="5:16" hidden="1" x14ac:dyDescent="0.25">
      <c r="E3026" s="43">
        <f>COUNTIF($O$7:O3026,FORMULARIO!$AA$2)</f>
        <v>1</v>
      </c>
      <c r="M3026" s="46"/>
      <c r="P3026" s="16"/>
    </row>
    <row r="3027" spans="5:16" hidden="1" x14ac:dyDescent="0.25">
      <c r="E3027" s="43">
        <f>COUNTIF($O$7:O3027,FORMULARIO!$AA$2)</f>
        <v>1</v>
      </c>
      <c r="M3027" s="46"/>
      <c r="P3027" s="16"/>
    </row>
    <row r="3028" spans="5:16" hidden="1" x14ac:dyDescent="0.25">
      <c r="E3028" s="43">
        <f>COUNTIF($O$7:O3028,FORMULARIO!$AA$2)</f>
        <v>1</v>
      </c>
      <c r="M3028" s="46"/>
      <c r="P3028" s="16"/>
    </row>
    <row r="3029" spans="5:16" hidden="1" x14ac:dyDescent="0.25">
      <c r="E3029" s="43">
        <f>COUNTIF($O$7:O3029,FORMULARIO!$AA$2)</f>
        <v>1</v>
      </c>
      <c r="M3029" s="46"/>
      <c r="P3029" s="16"/>
    </row>
    <row r="3030" spans="5:16" hidden="1" x14ac:dyDescent="0.25">
      <c r="E3030" s="43">
        <f>COUNTIF($O$7:O3030,FORMULARIO!$AA$2)</f>
        <v>1</v>
      </c>
      <c r="M3030" s="46"/>
      <c r="P3030" s="16"/>
    </row>
    <row r="3031" spans="5:16" hidden="1" x14ac:dyDescent="0.25">
      <c r="E3031" s="43">
        <f>COUNTIF($O$7:O3031,FORMULARIO!$AA$2)</f>
        <v>1</v>
      </c>
      <c r="M3031" s="46"/>
      <c r="P3031" s="16"/>
    </row>
    <row r="3032" spans="5:16" hidden="1" x14ac:dyDescent="0.25">
      <c r="E3032" s="43">
        <f>COUNTIF($O$7:O3032,FORMULARIO!$AA$2)</f>
        <v>1</v>
      </c>
      <c r="M3032" s="46"/>
      <c r="P3032" s="16"/>
    </row>
    <row r="3033" spans="5:16" hidden="1" x14ac:dyDescent="0.25">
      <c r="E3033" s="43">
        <f>COUNTIF($O$7:O3033,FORMULARIO!$AA$2)</f>
        <v>1</v>
      </c>
      <c r="M3033" s="46"/>
      <c r="P3033" s="16"/>
    </row>
    <row r="3034" spans="5:16" hidden="1" x14ac:dyDescent="0.25">
      <c r="E3034" s="43">
        <f>COUNTIF($O$7:O3034,FORMULARIO!$AA$2)</f>
        <v>1</v>
      </c>
      <c r="M3034" s="46"/>
      <c r="P3034" s="16"/>
    </row>
    <row r="3035" spans="5:16" hidden="1" x14ac:dyDescent="0.25">
      <c r="E3035" s="43">
        <f>COUNTIF($O$7:O3035,FORMULARIO!$AA$2)</f>
        <v>1</v>
      </c>
      <c r="M3035" s="46"/>
      <c r="P3035" s="16"/>
    </row>
    <row r="3036" spans="5:16" hidden="1" x14ac:dyDescent="0.25">
      <c r="E3036" s="43">
        <f>COUNTIF($O$7:O3036,FORMULARIO!$AA$2)</f>
        <v>1</v>
      </c>
      <c r="M3036" s="46"/>
      <c r="P3036" s="16"/>
    </row>
    <row r="3037" spans="5:16" hidden="1" x14ac:dyDescent="0.25">
      <c r="E3037" s="43">
        <f>COUNTIF($O$7:O3037,FORMULARIO!$AA$2)</f>
        <v>1</v>
      </c>
      <c r="M3037" s="46"/>
      <c r="P3037" s="16"/>
    </row>
    <row r="3038" spans="5:16" hidden="1" x14ac:dyDescent="0.25">
      <c r="E3038" s="43">
        <f>COUNTIF($O$7:O3038,FORMULARIO!$AA$2)</f>
        <v>1</v>
      </c>
      <c r="M3038" s="46"/>
      <c r="P3038" s="16"/>
    </row>
    <row r="3039" spans="5:16" hidden="1" x14ac:dyDescent="0.25">
      <c r="E3039" s="43">
        <f>COUNTIF($O$7:O3039,FORMULARIO!$AA$2)</f>
        <v>1</v>
      </c>
      <c r="M3039" s="46"/>
      <c r="P3039" s="16"/>
    </row>
    <row r="3040" spans="5:16" hidden="1" x14ac:dyDescent="0.25">
      <c r="E3040" s="43">
        <f>COUNTIF($O$7:O3040,FORMULARIO!$AA$2)</f>
        <v>1</v>
      </c>
      <c r="M3040" s="46"/>
      <c r="P3040" s="16"/>
    </row>
    <row r="3041" spans="5:16" hidden="1" x14ac:dyDescent="0.25">
      <c r="E3041" s="43">
        <f>COUNTIF($O$7:O3041,FORMULARIO!$AA$2)</f>
        <v>1</v>
      </c>
      <c r="M3041" s="46"/>
      <c r="P3041" s="16"/>
    </row>
    <row r="3042" spans="5:16" hidden="1" x14ac:dyDescent="0.25">
      <c r="E3042" s="43">
        <f>COUNTIF($O$7:O3042,FORMULARIO!$AA$2)</f>
        <v>1</v>
      </c>
      <c r="M3042" s="46"/>
      <c r="P3042" s="16"/>
    </row>
    <row r="3043" spans="5:16" hidden="1" x14ac:dyDescent="0.25">
      <c r="E3043" s="43">
        <f>COUNTIF($O$7:O3043,FORMULARIO!$AA$2)</f>
        <v>1</v>
      </c>
      <c r="M3043" s="46"/>
      <c r="P3043" s="16"/>
    </row>
    <row r="3044" spans="5:16" hidden="1" x14ac:dyDescent="0.25">
      <c r="E3044" s="43">
        <f>COUNTIF($O$7:O3044,FORMULARIO!$AA$2)</f>
        <v>1</v>
      </c>
      <c r="M3044" s="46"/>
      <c r="P3044" s="16"/>
    </row>
    <row r="3045" spans="5:16" hidden="1" x14ac:dyDescent="0.25">
      <c r="E3045" s="43">
        <f>COUNTIF($O$7:O3045,FORMULARIO!$AA$2)</f>
        <v>1</v>
      </c>
      <c r="M3045" s="46"/>
      <c r="P3045" s="16"/>
    </row>
    <row r="3046" spans="5:16" hidden="1" x14ac:dyDescent="0.25">
      <c r="E3046" s="43">
        <f>COUNTIF($O$7:O3046,FORMULARIO!$AA$2)</f>
        <v>1</v>
      </c>
      <c r="M3046" s="46"/>
      <c r="P3046" s="16"/>
    </row>
    <row r="3047" spans="5:16" hidden="1" x14ac:dyDescent="0.25">
      <c r="E3047" s="43">
        <f>COUNTIF($O$7:O3047,FORMULARIO!$AA$2)</f>
        <v>1</v>
      </c>
      <c r="M3047" s="46"/>
      <c r="P3047" s="16"/>
    </row>
    <row r="3048" spans="5:16" hidden="1" x14ac:dyDescent="0.25">
      <c r="E3048" s="43">
        <f>COUNTIF($O$7:O3048,FORMULARIO!$AA$2)</f>
        <v>1</v>
      </c>
      <c r="M3048" s="46"/>
      <c r="P3048" s="16"/>
    </row>
    <row r="3049" spans="5:16" hidden="1" x14ac:dyDescent="0.25">
      <c r="E3049" s="43">
        <f>COUNTIF($O$7:O3049,FORMULARIO!$AA$2)</f>
        <v>1</v>
      </c>
      <c r="M3049" s="46"/>
      <c r="P3049" s="16"/>
    </row>
    <row r="3050" spans="5:16" hidden="1" x14ac:dyDescent="0.25">
      <c r="E3050" s="43">
        <f>COUNTIF($O$7:O3050,FORMULARIO!$AA$2)</f>
        <v>1</v>
      </c>
      <c r="M3050" s="46"/>
      <c r="P3050" s="16"/>
    </row>
    <row r="3051" spans="5:16" hidden="1" x14ac:dyDescent="0.25">
      <c r="E3051" s="43">
        <f>COUNTIF($O$7:O3051,FORMULARIO!$AA$2)</f>
        <v>1</v>
      </c>
      <c r="M3051" s="46"/>
      <c r="P3051" s="16"/>
    </row>
    <row r="3052" spans="5:16" hidden="1" x14ac:dyDescent="0.25">
      <c r="E3052" s="43">
        <f>COUNTIF($O$7:O3052,FORMULARIO!$AA$2)</f>
        <v>1</v>
      </c>
      <c r="M3052" s="46"/>
      <c r="P3052" s="16"/>
    </row>
    <row r="3053" spans="5:16" hidden="1" x14ac:dyDescent="0.25">
      <c r="E3053" s="43">
        <f>COUNTIF($O$7:O3053,FORMULARIO!$AA$2)</f>
        <v>1</v>
      </c>
      <c r="M3053" s="46"/>
      <c r="P3053" s="16"/>
    </row>
    <row r="3054" spans="5:16" hidden="1" x14ac:dyDescent="0.25">
      <c r="E3054" s="43">
        <f>COUNTIF($O$7:O3054,FORMULARIO!$AA$2)</f>
        <v>1</v>
      </c>
      <c r="M3054" s="46"/>
      <c r="P3054" s="16"/>
    </row>
    <row r="3055" spans="5:16" hidden="1" x14ac:dyDescent="0.25">
      <c r="E3055" s="43">
        <f>COUNTIF($O$7:O3055,FORMULARIO!$AA$2)</f>
        <v>1</v>
      </c>
      <c r="M3055" s="46"/>
      <c r="P3055" s="16"/>
    </row>
    <row r="3056" spans="5:16" hidden="1" x14ac:dyDescent="0.25">
      <c r="E3056" s="43">
        <f>COUNTIF($O$7:O3056,FORMULARIO!$AA$2)</f>
        <v>1</v>
      </c>
      <c r="M3056" s="46"/>
      <c r="P3056" s="16"/>
    </row>
    <row r="3057" spans="5:16" hidden="1" x14ac:dyDescent="0.25">
      <c r="E3057" s="43">
        <f>COUNTIF($O$7:O3057,FORMULARIO!$AA$2)</f>
        <v>1</v>
      </c>
      <c r="M3057" s="46"/>
      <c r="P3057" s="16"/>
    </row>
    <row r="3058" spans="5:16" hidden="1" x14ac:dyDescent="0.25">
      <c r="E3058" s="43">
        <f>COUNTIF($O$7:O3058,FORMULARIO!$AA$2)</f>
        <v>1</v>
      </c>
      <c r="M3058" s="46"/>
      <c r="P3058" s="16"/>
    </row>
    <row r="3059" spans="5:16" hidden="1" x14ac:dyDescent="0.25">
      <c r="E3059" s="43">
        <f>COUNTIF($O$7:O3059,FORMULARIO!$AA$2)</f>
        <v>1</v>
      </c>
      <c r="M3059" s="46"/>
      <c r="P3059" s="16"/>
    </row>
    <row r="3060" spans="5:16" hidden="1" x14ac:dyDescent="0.25">
      <c r="E3060" s="43">
        <f>COUNTIF($O$7:O3060,FORMULARIO!$AA$2)</f>
        <v>1</v>
      </c>
      <c r="M3060" s="46"/>
      <c r="P3060" s="16"/>
    </row>
    <row r="3061" spans="5:16" hidden="1" x14ac:dyDescent="0.25">
      <c r="E3061" s="43">
        <f>COUNTIF($O$7:O3061,FORMULARIO!$AA$2)</f>
        <v>1</v>
      </c>
      <c r="M3061" s="46"/>
      <c r="P3061" s="16"/>
    </row>
    <row r="3062" spans="5:16" hidden="1" x14ac:dyDescent="0.25">
      <c r="E3062" s="43">
        <f>COUNTIF($O$7:O3062,FORMULARIO!$AA$2)</f>
        <v>1</v>
      </c>
      <c r="M3062" s="46"/>
      <c r="P3062" s="16"/>
    </row>
    <row r="3063" spans="5:16" hidden="1" x14ac:dyDescent="0.25">
      <c r="E3063" s="43">
        <f>COUNTIF($O$7:O3063,FORMULARIO!$AA$2)</f>
        <v>1</v>
      </c>
      <c r="M3063" s="46"/>
      <c r="P3063" s="16"/>
    </row>
    <row r="3064" spans="5:16" hidden="1" x14ac:dyDescent="0.25">
      <c r="E3064" s="43">
        <f>COUNTIF($O$7:O3064,FORMULARIO!$AA$2)</f>
        <v>1</v>
      </c>
      <c r="M3064" s="46"/>
      <c r="P3064" s="16"/>
    </row>
    <row r="3065" spans="5:16" hidden="1" x14ac:dyDescent="0.25">
      <c r="E3065" s="43">
        <f>COUNTIF($O$7:O3065,FORMULARIO!$AA$2)</f>
        <v>1</v>
      </c>
      <c r="M3065" s="46"/>
      <c r="P3065" s="16"/>
    </row>
    <row r="3066" spans="5:16" hidden="1" x14ac:dyDescent="0.25">
      <c r="E3066" s="43">
        <f>COUNTIF($O$7:O3066,FORMULARIO!$AA$2)</f>
        <v>1</v>
      </c>
      <c r="M3066" s="46"/>
      <c r="P3066" s="16"/>
    </row>
    <row r="3067" spans="5:16" hidden="1" x14ac:dyDescent="0.25">
      <c r="E3067" s="43">
        <f>COUNTIF($O$7:O3067,FORMULARIO!$AA$2)</f>
        <v>1</v>
      </c>
      <c r="M3067" s="46"/>
      <c r="P3067" s="16"/>
    </row>
    <row r="3068" spans="5:16" hidden="1" x14ac:dyDescent="0.25">
      <c r="E3068" s="43">
        <f>COUNTIF($O$7:O3068,FORMULARIO!$AA$2)</f>
        <v>1</v>
      </c>
      <c r="M3068" s="46"/>
      <c r="P3068" s="16"/>
    </row>
    <row r="3069" spans="5:16" hidden="1" x14ac:dyDescent="0.25">
      <c r="E3069" s="43">
        <f>COUNTIF($O$7:O3069,FORMULARIO!$AA$2)</f>
        <v>1</v>
      </c>
      <c r="M3069" s="46"/>
      <c r="P3069" s="16"/>
    </row>
    <row r="3070" spans="5:16" hidden="1" x14ac:dyDescent="0.25">
      <c r="E3070" s="43">
        <f>COUNTIF($O$7:O3070,FORMULARIO!$AA$2)</f>
        <v>1</v>
      </c>
      <c r="M3070" s="46"/>
      <c r="P3070" s="16"/>
    </row>
    <row r="3071" spans="5:16" hidden="1" x14ac:dyDescent="0.25">
      <c r="E3071" s="43">
        <f>COUNTIF($O$7:O3071,FORMULARIO!$AA$2)</f>
        <v>1</v>
      </c>
      <c r="M3071" s="46"/>
      <c r="P3071" s="16"/>
    </row>
    <row r="3072" spans="5:16" hidden="1" x14ac:dyDescent="0.25">
      <c r="E3072" s="43">
        <f>COUNTIF($O$7:O3072,FORMULARIO!$AA$2)</f>
        <v>1</v>
      </c>
      <c r="M3072" s="46"/>
      <c r="P3072" s="16"/>
    </row>
    <row r="3073" spans="5:16" hidden="1" x14ac:dyDescent="0.25">
      <c r="E3073" s="43">
        <f>COUNTIF($O$7:O3073,FORMULARIO!$AA$2)</f>
        <v>1</v>
      </c>
      <c r="M3073" s="46"/>
      <c r="P3073" s="16"/>
    </row>
    <row r="3074" spans="5:16" hidden="1" x14ac:dyDescent="0.25">
      <c r="E3074" s="43">
        <f>COUNTIF($O$7:O3074,FORMULARIO!$AA$2)</f>
        <v>1</v>
      </c>
      <c r="M3074" s="46"/>
      <c r="P3074" s="16"/>
    </row>
    <row r="3075" spans="5:16" hidden="1" x14ac:dyDescent="0.25">
      <c r="E3075" s="43">
        <f>COUNTIF($O$7:O3075,FORMULARIO!$AA$2)</f>
        <v>1</v>
      </c>
      <c r="M3075" s="46"/>
      <c r="P3075" s="16"/>
    </row>
    <row r="3076" spans="5:16" hidden="1" x14ac:dyDescent="0.25">
      <c r="E3076" s="43">
        <f>COUNTIF($O$7:O3076,FORMULARIO!$AA$2)</f>
        <v>1</v>
      </c>
      <c r="M3076" s="46"/>
      <c r="P3076" s="16"/>
    </row>
    <row r="3077" spans="5:16" hidden="1" x14ac:dyDescent="0.25">
      <c r="E3077" s="43">
        <f>COUNTIF($O$7:O3077,FORMULARIO!$AA$2)</f>
        <v>1</v>
      </c>
      <c r="M3077" s="46"/>
      <c r="P3077" s="16"/>
    </row>
    <row r="3078" spans="5:16" hidden="1" x14ac:dyDescent="0.25">
      <c r="E3078" s="43">
        <f>COUNTIF($O$7:O3078,FORMULARIO!$AA$2)</f>
        <v>1</v>
      </c>
      <c r="M3078" s="46"/>
      <c r="P3078" s="16"/>
    </row>
    <row r="3079" spans="5:16" hidden="1" x14ac:dyDescent="0.25">
      <c r="E3079" s="43">
        <f>COUNTIF($O$7:O3079,FORMULARIO!$AA$2)</f>
        <v>1</v>
      </c>
      <c r="M3079" s="46"/>
      <c r="P3079" s="16"/>
    </row>
    <row r="3080" spans="5:16" hidden="1" x14ac:dyDescent="0.25">
      <c r="E3080" s="43">
        <f>COUNTIF($O$7:O3080,FORMULARIO!$AA$2)</f>
        <v>1</v>
      </c>
      <c r="M3080" s="46"/>
      <c r="P3080" s="16"/>
    </row>
    <row r="3081" spans="5:16" hidden="1" x14ac:dyDescent="0.25">
      <c r="E3081" s="43">
        <f>COUNTIF($O$7:O3081,FORMULARIO!$AA$2)</f>
        <v>1</v>
      </c>
      <c r="M3081" s="46"/>
      <c r="P3081" s="16"/>
    </row>
    <row r="3082" spans="5:16" hidden="1" x14ac:dyDescent="0.25">
      <c r="E3082" s="43">
        <f>COUNTIF($O$7:O3082,FORMULARIO!$AA$2)</f>
        <v>1</v>
      </c>
      <c r="M3082" s="46"/>
      <c r="P3082" s="16"/>
    </row>
    <row r="3083" spans="5:16" hidden="1" x14ac:dyDescent="0.25">
      <c r="E3083" s="43">
        <f>COUNTIF($O$7:O3083,FORMULARIO!$AA$2)</f>
        <v>1</v>
      </c>
      <c r="M3083" s="46"/>
      <c r="P3083" s="16"/>
    </row>
    <row r="3084" spans="5:16" hidden="1" x14ac:dyDescent="0.25">
      <c r="E3084" s="43">
        <f>COUNTIF($O$7:O3084,FORMULARIO!$AA$2)</f>
        <v>1</v>
      </c>
      <c r="M3084" s="46"/>
      <c r="P3084" s="16"/>
    </row>
    <row r="3085" spans="5:16" hidden="1" x14ac:dyDescent="0.25">
      <c r="E3085" s="43">
        <f>COUNTIF($O$7:O3085,FORMULARIO!$AA$2)</f>
        <v>1</v>
      </c>
      <c r="M3085" s="46"/>
      <c r="P3085" s="16"/>
    </row>
    <row r="3086" spans="5:16" hidden="1" x14ac:dyDescent="0.25">
      <c r="E3086" s="43">
        <f>COUNTIF($O$7:O3086,FORMULARIO!$AA$2)</f>
        <v>1</v>
      </c>
      <c r="M3086" s="46"/>
      <c r="P3086" s="16"/>
    </row>
    <row r="3087" spans="5:16" hidden="1" x14ac:dyDescent="0.25">
      <c r="E3087" s="43">
        <f>COUNTIF($O$7:O3087,FORMULARIO!$AA$2)</f>
        <v>1</v>
      </c>
      <c r="M3087" s="46"/>
      <c r="P3087" s="16"/>
    </row>
    <row r="3088" spans="5:16" hidden="1" x14ac:dyDescent="0.25">
      <c r="E3088" s="43">
        <f>COUNTIF($O$7:O3088,FORMULARIO!$AA$2)</f>
        <v>1</v>
      </c>
      <c r="M3088" s="46"/>
      <c r="P3088" s="16"/>
    </row>
    <row r="3089" spans="5:16" hidden="1" x14ac:dyDescent="0.25">
      <c r="E3089" s="43">
        <f>COUNTIF($O$7:O3089,FORMULARIO!$AA$2)</f>
        <v>1</v>
      </c>
      <c r="M3089" s="46"/>
      <c r="P3089" s="16"/>
    </row>
    <row r="3090" spans="5:16" hidden="1" x14ac:dyDescent="0.25">
      <c r="E3090" s="43">
        <f>COUNTIF($O$7:O3090,FORMULARIO!$AA$2)</f>
        <v>1</v>
      </c>
      <c r="M3090" s="46"/>
      <c r="P3090" s="16"/>
    </row>
    <row r="3091" spans="5:16" hidden="1" x14ac:dyDescent="0.25">
      <c r="E3091" s="43">
        <f>COUNTIF($O$7:O3091,FORMULARIO!$AA$2)</f>
        <v>1</v>
      </c>
      <c r="M3091" s="46"/>
      <c r="P3091" s="16"/>
    </row>
    <row r="3092" spans="5:16" hidden="1" x14ac:dyDescent="0.25">
      <c r="E3092" s="43">
        <f>COUNTIF($O$7:O3092,FORMULARIO!$AA$2)</f>
        <v>1</v>
      </c>
      <c r="M3092" s="46"/>
      <c r="P3092" s="16"/>
    </row>
    <row r="3093" spans="5:16" hidden="1" x14ac:dyDescent="0.25">
      <c r="E3093" s="43">
        <f>COUNTIF($O$7:O3093,FORMULARIO!$AA$2)</f>
        <v>1</v>
      </c>
      <c r="M3093" s="46"/>
      <c r="P3093" s="16"/>
    </row>
    <row r="3094" spans="5:16" hidden="1" x14ac:dyDescent="0.25">
      <c r="E3094" s="43">
        <f>COUNTIF($O$7:O3094,FORMULARIO!$AA$2)</f>
        <v>1</v>
      </c>
      <c r="M3094" s="46"/>
      <c r="P3094" s="16"/>
    </row>
    <row r="3095" spans="5:16" hidden="1" x14ac:dyDescent="0.25">
      <c r="E3095" s="43">
        <f>COUNTIF($O$7:O3095,FORMULARIO!$AA$2)</f>
        <v>1</v>
      </c>
      <c r="M3095" s="46"/>
      <c r="P3095" s="16"/>
    </row>
    <row r="3096" spans="5:16" hidden="1" x14ac:dyDescent="0.25">
      <c r="E3096" s="43">
        <f>COUNTIF($O$7:O3096,FORMULARIO!$AA$2)</f>
        <v>1</v>
      </c>
      <c r="M3096" s="46"/>
      <c r="P3096" s="16"/>
    </row>
    <row r="3097" spans="5:16" hidden="1" x14ac:dyDescent="0.25">
      <c r="E3097" s="43">
        <f>COUNTIF($O$7:O3097,FORMULARIO!$AA$2)</f>
        <v>1</v>
      </c>
      <c r="M3097" s="46"/>
      <c r="P3097" s="16"/>
    </row>
    <row r="3098" spans="5:16" hidden="1" x14ac:dyDescent="0.25">
      <c r="E3098" s="43">
        <f>COUNTIF($O$7:O3098,FORMULARIO!$AA$2)</f>
        <v>1</v>
      </c>
      <c r="M3098" s="46"/>
      <c r="P3098" s="16"/>
    </row>
    <row r="3099" spans="5:16" hidden="1" x14ac:dyDescent="0.25">
      <c r="E3099" s="43">
        <f>COUNTIF($O$7:O3099,FORMULARIO!$AA$2)</f>
        <v>1</v>
      </c>
      <c r="M3099" s="46"/>
      <c r="P3099" s="16"/>
    </row>
    <row r="3100" spans="5:16" hidden="1" x14ac:dyDescent="0.25">
      <c r="E3100" s="43">
        <f>COUNTIF($O$7:O3100,FORMULARIO!$AA$2)</f>
        <v>1</v>
      </c>
      <c r="M3100" s="46"/>
      <c r="P3100" s="16"/>
    </row>
    <row r="3101" spans="5:16" hidden="1" x14ac:dyDescent="0.25">
      <c r="E3101" s="43">
        <f>COUNTIF($O$7:O3101,FORMULARIO!$AA$2)</f>
        <v>1</v>
      </c>
      <c r="M3101" s="46"/>
      <c r="P3101" s="16"/>
    </row>
    <row r="3102" spans="5:16" hidden="1" x14ac:dyDescent="0.25">
      <c r="E3102" s="43">
        <f>COUNTIF($O$7:O3102,FORMULARIO!$AA$2)</f>
        <v>1</v>
      </c>
      <c r="M3102" s="46"/>
      <c r="P3102" s="16"/>
    </row>
    <row r="3103" spans="5:16" hidden="1" x14ac:dyDescent="0.25">
      <c r="E3103" s="43">
        <f>COUNTIF($O$7:O3103,FORMULARIO!$AA$2)</f>
        <v>1</v>
      </c>
      <c r="M3103" s="46"/>
      <c r="P3103" s="16"/>
    </row>
    <row r="3104" spans="5:16" hidden="1" x14ac:dyDescent="0.25">
      <c r="E3104" s="43">
        <f>COUNTIF($O$7:O3104,FORMULARIO!$AA$2)</f>
        <v>1</v>
      </c>
      <c r="M3104" s="46"/>
      <c r="P3104" s="16"/>
    </row>
    <row r="3105" spans="5:16" hidden="1" x14ac:dyDescent="0.25">
      <c r="E3105" s="43">
        <f>COUNTIF($O$7:O3105,FORMULARIO!$AA$2)</f>
        <v>1</v>
      </c>
      <c r="M3105" s="46"/>
      <c r="P3105" s="16"/>
    </row>
    <row r="3106" spans="5:16" hidden="1" x14ac:dyDescent="0.25">
      <c r="E3106" s="43">
        <f>COUNTIF($O$7:O3106,FORMULARIO!$AA$2)</f>
        <v>1</v>
      </c>
      <c r="M3106" s="46"/>
      <c r="P3106" s="16"/>
    </row>
    <row r="3107" spans="5:16" hidden="1" x14ac:dyDescent="0.25">
      <c r="E3107" s="43">
        <f>COUNTIF($O$7:O3107,FORMULARIO!$AA$2)</f>
        <v>1</v>
      </c>
      <c r="M3107" s="46"/>
      <c r="P3107" s="16"/>
    </row>
    <row r="3108" spans="5:16" hidden="1" x14ac:dyDescent="0.25">
      <c r="E3108" s="43">
        <f>COUNTIF($O$7:O3108,FORMULARIO!$AA$2)</f>
        <v>1</v>
      </c>
      <c r="M3108" s="46"/>
      <c r="P3108" s="16"/>
    </row>
    <row r="3109" spans="5:16" hidden="1" x14ac:dyDescent="0.25">
      <c r="E3109" s="43">
        <f>COUNTIF($O$7:O3109,FORMULARIO!$AA$2)</f>
        <v>1</v>
      </c>
      <c r="M3109" s="46"/>
      <c r="P3109" s="16"/>
    </row>
    <row r="3110" spans="5:16" hidden="1" x14ac:dyDescent="0.25">
      <c r="E3110" s="43">
        <f>COUNTIF($O$7:O3110,FORMULARIO!$AA$2)</f>
        <v>1</v>
      </c>
      <c r="M3110" s="46"/>
      <c r="P3110" s="16"/>
    </row>
    <row r="3111" spans="5:16" hidden="1" x14ac:dyDescent="0.25">
      <c r="E3111" s="43">
        <f>COUNTIF($O$7:O3111,FORMULARIO!$AA$2)</f>
        <v>1</v>
      </c>
      <c r="M3111" s="46"/>
      <c r="P3111" s="16"/>
    </row>
    <row r="3112" spans="5:16" hidden="1" x14ac:dyDescent="0.25">
      <c r="E3112" s="43">
        <f>COUNTIF($O$7:O3112,FORMULARIO!$AA$2)</f>
        <v>1</v>
      </c>
      <c r="M3112" s="46"/>
      <c r="P3112" s="16"/>
    </row>
    <row r="3113" spans="5:16" hidden="1" x14ac:dyDescent="0.25">
      <c r="E3113" s="43">
        <f>COUNTIF($O$7:O3113,FORMULARIO!$AA$2)</f>
        <v>1</v>
      </c>
      <c r="M3113" s="46"/>
      <c r="P3113" s="16"/>
    </row>
    <row r="3114" spans="5:16" hidden="1" x14ac:dyDescent="0.25">
      <c r="E3114" s="43">
        <f>COUNTIF($O$7:O3114,FORMULARIO!$AA$2)</f>
        <v>1</v>
      </c>
      <c r="M3114" s="46"/>
      <c r="P3114" s="16"/>
    </row>
    <row r="3115" spans="5:16" hidden="1" x14ac:dyDescent="0.25">
      <c r="E3115" s="43">
        <f>COUNTIF($O$7:O3115,FORMULARIO!$AA$2)</f>
        <v>1</v>
      </c>
      <c r="M3115" s="46"/>
      <c r="P3115" s="16"/>
    </row>
    <row r="3116" spans="5:16" hidden="1" x14ac:dyDescent="0.25">
      <c r="E3116" s="43">
        <f>COUNTIF($O$7:O3116,FORMULARIO!$AA$2)</f>
        <v>1</v>
      </c>
      <c r="M3116" s="46"/>
      <c r="P3116" s="16"/>
    </row>
    <row r="3117" spans="5:16" hidden="1" x14ac:dyDescent="0.25">
      <c r="E3117" s="43">
        <f>COUNTIF($O$7:O3117,FORMULARIO!$AA$2)</f>
        <v>1</v>
      </c>
      <c r="M3117" s="46"/>
      <c r="P3117" s="16"/>
    </row>
    <row r="3118" spans="5:16" hidden="1" x14ac:dyDescent="0.25">
      <c r="E3118" s="43">
        <f>COUNTIF($O$7:O3118,FORMULARIO!$AA$2)</f>
        <v>1</v>
      </c>
      <c r="M3118" s="46"/>
      <c r="P3118" s="16"/>
    </row>
    <row r="3119" spans="5:16" hidden="1" x14ac:dyDescent="0.25">
      <c r="E3119" s="43">
        <f>COUNTIF($O$7:O3119,FORMULARIO!$AA$2)</f>
        <v>1</v>
      </c>
      <c r="M3119" s="46"/>
      <c r="P3119" s="16"/>
    </row>
    <row r="3120" spans="5:16" hidden="1" x14ac:dyDescent="0.25">
      <c r="E3120" s="43">
        <f>COUNTIF($O$7:O3120,FORMULARIO!$AA$2)</f>
        <v>1</v>
      </c>
      <c r="M3120" s="46"/>
      <c r="P3120" s="16"/>
    </row>
    <row r="3121" spans="5:16" hidden="1" x14ac:dyDescent="0.25">
      <c r="E3121" s="43">
        <f>COUNTIF($O$7:O3121,FORMULARIO!$AA$2)</f>
        <v>1</v>
      </c>
      <c r="M3121" s="46"/>
      <c r="P3121" s="16"/>
    </row>
    <row r="3122" spans="5:16" hidden="1" x14ac:dyDescent="0.25">
      <c r="E3122" s="43">
        <f>COUNTIF($O$7:O3122,FORMULARIO!$AA$2)</f>
        <v>1</v>
      </c>
      <c r="M3122" s="46"/>
      <c r="P3122" s="16"/>
    </row>
    <row r="3123" spans="5:16" hidden="1" x14ac:dyDescent="0.25">
      <c r="E3123" s="43">
        <f>COUNTIF($O$7:O3123,FORMULARIO!$AA$2)</f>
        <v>1</v>
      </c>
      <c r="M3123" s="46"/>
      <c r="P3123" s="16"/>
    </row>
    <row r="3124" spans="5:16" hidden="1" x14ac:dyDescent="0.25">
      <c r="E3124" s="43">
        <f>COUNTIF($O$7:O3124,FORMULARIO!$AA$2)</f>
        <v>1</v>
      </c>
      <c r="M3124" s="46"/>
      <c r="P3124" s="16"/>
    </row>
    <row r="3125" spans="5:16" hidden="1" x14ac:dyDescent="0.25">
      <c r="E3125" s="43">
        <f>COUNTIF($O$7:O3125,FORMULARIO!$AA$2)</f>
        <v>1</v>
      </c>
      <c r="M3125" s="46"/>
      <c r="P3125" s="16"/>
    </row>
    <row r="3126" spans="5:16" hidden="1" x14ac:dyDescent="0.25">
      <c r="E3126" s="43">
        <f>COUNTIF($O$7:O3126,FORMULARIO!$AA$2)</f>
        <v>1</v>
      </c>
      <c r="M3126" s="46"/>
      <c r="P3126" s="16"/>
    </row>
    <row r="3127" spans="5:16" hidden="1" x14ac:dyDescent="0.25">
      <c r="E3127" s="43">
        <f>COUNTIF($O$7:O3127,FORMULARIO!$AA$2)</f>
        <v>1</v>
      </c>
      <c r="M3127" s="46"/>
      <c r="P3127" s="16"/>
    </row>
    <row r="3128" spans="5:16" hidden="1" x14ac:dyDescent="0.25">
      <c r="E3128" s="43">
        <f>COUNTIF($O$7:O3128,FORMULARIO!$AA$2)</f>
        <v>1</v>
      </c>
      <c r="M3128" s="46"/>
      <c r="P3128" s="16"/>
    </row>
    <row r="3129" spans="5:16" hidden="1" x14ac:dyDescent="0.25">
      <c r="E3129" s="43">
        <f>COUNTIF($O$7:O3129,FORMULARIO!$AA$2)</f>
        <v>1</v>
      </c>
      <c r="M3129" s="46"/>
      <c r="P3129" s="16"/>
    </row>
    <row r="3130" spans="5:16" hidden="1" x14ac:dyDescent="0.25">
      <c r="E3130" s="43">
        <f>COUNTIF($O$7:O3130,FORMULARIO!$AA$2)</f>
        <v>1</v>
      </c>
      <c r="M3130" s="46"/>
      <c r="P3130" s="16"/>
    </row>
    <row r="3131" spans="5:16" hidden="1" x14ac:dyDescent="0.25">
      <c r="E3131" s="43">
        <f>COUNTIF($O$7:O3131,FORMULARIO!$AA$2)</f>
        <v>1</v>
      </c>
      <c r="M3131" s="46"/>
      <c r="P3131" s="16"/>
    </row>
    <row r="3132" spans="5:16" hidden="1" x14ac:dyDescent="0.25">
      <c r="E3132" s="43">
        <f>COUNTIF($O$7:O3132,FORMULARIO!$AA$2)</f>
        <v>1</v>
      </c>
      <c r="M3132" s="46"/>
      <c r="P3132" s="16"/>
    </row>
    <row r="3133" spans="5:16" hidden="1" x14ac:dyDescent="0.25">
      <c r="E3133" s="43">
        <f>COUNTIF($O$7:O3133,FORMULARIO!$AA$2)</f>
        <v>1</v>
      </c>
      <c r="M3133" s="46"/>
      <c r="P3133" s="16"/>
    </row>
    <row r="3134" spans="5:16" hidden="1" x14ac:dyDescent="0.25">
      <c r="E3134" s="43">
        <f>COUNTIF($O$7:O3134,FORMULARIO!$AA$2)</f>
        <v>1</v>
      </c>
      <c r="M3134" s="46"/>
      <c r="P3134" s="16"/>
    </row>
    <row r="3135" spans="5:16" hidden="1" x14ac:dyDescent="0.25">
      <c r="E3135" s="43">
        <f>COUNTIF($O$7:O3135,FORMULARIO!$AA$2)</f>
        <v>1</v>
      </c>
      <c r="M3135" s="46"/>
      <c r="P3135" s="16"/>
    </row>
    <row r="3136" spans="5:16" hidden="1" x14ac:dyDescent="0.25">
      <c r="E3136" s="43">
        <f>COUNTIF($O$7:O3136,FORMULARIO!$AA$2)</f>
        <v>1</v>
      </c>
      <c r="M3136" s="46"/>
      <c r="P3136" s="16"/>
    </row>
    <row r="3137" spans="5:16" hidden="1" x14ac:dyDescent="0.25">
      <c r="E3137" s="43">
        <f>COUNTIF($O$7:O3137,FORMULARIO!$AA$2)</f>
        <v>1</v>
      </c>
      <c r="M3137" s="46"/>
      <c r="P3137" s="16"/>
    </row>
    <row r="3138" spans="5:16" hidden="1" x14ac:dyDescent="0.25">
      <c r="E3138" s="43">
        <f>COUNTIF($O$7:O3138,FORMULARIO!$AA$2)</f>
        <v>1</v>
      </c>
      <c r="M3138" s="46"/>
      <c r="P3138" s="16"/>
    </row>
    <row r="3139" spans="5:16" hidden="1" x14ac:dyDescent="0.25">
      <c r="E3139" s="43">
        <f>COUNTIF($O$7:O3139,FORMULARIO!$AA$2)</f>
        <v>1</v>
      </c>
      <c r="M3139" s="46"/>
      <c r="P3139" s="16"/>
    </row>
    <row r="3140" spans="5:16" hidden="1" x14ac:dyDescent="0.25">
      <c r="E3140" s="43">
        <f>COUNTIF($O$7:O3140,FORMULARIO!$AA$2)</f>
        <v>1</v>
      </c>
      <c r="M3140" s="46"/>
      <c r="P3140" s="16"/>
    </row>
    <row r="3141" spans="5:16" hidden="1" x14ac:dyDescent="0.25">
      <c r="E3141" s="43">
        <f>COUNTIF($O$7:O3141,FORMULARIO!$AA$2)</f>
        <v>1</v>
      </c>
      <c r="M3141" s="46"/>
      <c r="P3141" s="16"/>
    </row>
    <row r="3142" spans="5:16" hidden="1" x14ac:dyDescent="0.25">
      <c r="E3142" s="43">
        <f>COUNTIF($O$7:O3142,FORMULARIO!$AA$2)</f>
        <v>1</v>
      </c>
      <c r="M3142" s="46"/>
      <c r="P3142" s="16"/>
    </row>
    <row r="3143" spans="5:16" hidden="1" x14ac:dyDescent="0.25">
      <c r="E3143" s="43">
        <f>COUNTIF($O$7:O3143,FORMULARIO!$AA$2)</f>
        <v>1</v>
      </c>
      <c r="M3143" s="46"/>
      <c r="P3143" s="16"/>
    </row>
    <row r="3144" spans="5:16" hidden="1" x14ac:dyDescent="0.25">
      <c r="E3144" s="43">
        <f>COUNTIF($O$7:O3144,FORMULARIO!$AA$2)</f>
        <v>1</v>
      </c>
      <c r="M3144" s="46"/>
      <c r="P3144" s="16"/>
    </row>
    <row r="3145" spans="5:16" hidden="1" x14ac:dyDescent="0.25">
      <c r="E3145" s="43">
        <f>COUNTIF($O$7:O3145,FORMULARIO!$AA$2)</f>
        <v>1</v>
      </c>
      <c r="M3145" s="46"/>
      <c r="P3145" s="16"/>
    </row>
    <row r="3146" spans="5:16" hidden="1" x14ac:dyDescent="0.25">
      <c r="E3146" s="43">
        <f>COUNTIF($O$7:O3146,FORMULARIO!$AA$2)</f>
        <v>1</v>
      </c>
      <c r="M3146" s="46"/>
      <c r="P3146" s="16"/>
    </row>
    <row r="3147" spans="5:16" hidden="1" x14ac:dyDescent="0.25">
      <c r="E3147" s="43">
        <f>COUNTIF($O$7:O3147,FORMULARIO!$AA$2)</f>
        <v>1</v>
      </c>
      <c r="M3147" s="46"/>
      <c r="P3147" s="16"/>
    </row>
    <row r="3148" spans="5:16" hidden="1" x14ac:dyDescent="0.25">
      <c r="E3148" s="43">
        <f>COUNTIF($O$7:O3148,FORMULARIO!$AA$2)</f>
        <v>1</v>
      </c>
      <c r="M3148" s="46"/>
      <c r="P3148" s="16"/>
    </row>
    <row r="3149" spans="5:16" hidden="1" x14ac:dyDescent="0.25">
      <c r="E3149" s="43">
        <f>COUNTIF($O$7:O3149,FORMULARIO!$AA$2)</f>
        <v>1</v>
      </c>
      <c r="M3149" s="46"/>
      <c r="P3149" s="16"/>
    </row>
    <row r="3150" spans="5:16" hidden="1" x14ac:dyDescent="0.25">
      <c r="E3150" s="43">
        <f>COUNTIF($O$7:O3150,FORMULARIO!$AA$2)</f>
        <v>1</v>
      </c>
      <c r="M3150" s="46"/>
      <c r="P3150" s="16"/>
    </row>
    <row r="3151" spans="5:16" hidden="1" x14ac:dyDescent="0.25">
      <c r="E3151" s="43">
        <f>COUNTIF($O$7:O3151,FORMULARIO!$AA$2)</f>
        <v>1</v>
      </c>
      <c r="M3151" s="46"/>
      <c r="P3151" s="16"/>
    </row>
    <row r="3152" spans="5:16" hidden="1" x14ac:dyDescent="0.25">
      <c r="E3152" s="43">
        <f>COUNTIF($O$7:O3152,FORMULARIO!$AA$2)</f>
        <v>1</v>
      </c>
      <c r="M3152" s="46"/>
      <c r="P3152" s="16"/>
    </row>
    <row r="3153" spans="5:16" hidden="1" x14ac:dyDescent="0.25">
      <c r="E3153" s="43">
        <f>COUNTIF($O$7:O3153,FORMULARIO!$AA$2)</f>
        <v>1</v>
      </c>
      <c r="M3153" s="46"/>
      <c r="P3153" s="16"/>
    </row>
    <row r="3154" spans="5:16" hidden="1" x14ac:dyDescent="0.25">
      <c r="E3154" s="43">
        <f>COUNTIF($O$7:O3154,FORMULARIO!$AA$2)</f>
        <v>1</v>
      </c>
      <c r="M3154" s="46"/>
      <c r="P3154" s="16"/>
    </row>
    <row r="3155" spans="5:16" hidden="1" x14ac:dyDescent="0.25">
      <c r="E3155" s="43">
        <f>COUNTIF($O$7:O3155,FORMULARIO!$AA$2)</f>
        <v>1</v>
      </c>
      <c r="M3155" s="46"/>
      <c r="P3155" s="16"/>
    </row>
    <row r="3156" spans="5:16" hidden="1" x14ac:dyDescent="0.25">
      <c r="E3156" s="43">
        <f>COUNTIF($O$7:O3156,FORMULARIO!$AA$2)</f>
        <v>1</v>
      </c>
      <c r="M3156" s="46"/>
      <c r="P3156" s="16"/>
    </row>
    <row r="3157" spans="5:16" hidden="1" x14ac:dyDescent="0.25">
      <c r="E3157" s="43">
        <f>COUNTIF($O$7:O3157,FORMULARIO!$AA$2)</f>
        <v>1</v>
      </c>
      <c r="M3157" s="46"/>
      <c r="P3157" s="16"/>
    </row>
    <row r="3158" spans="5:16" hidden="1" x14ac:dyDescent="0.25">
      <c r="E3158" s="43">
        <f>COUNTIF($O$7:O3158,FORMULARIO!$AA$2)</f>
        <v>1</v>
      </c>
      <c r="M3158" s="46"/>
      <c r="P3158" s="16"/>
    </row>
    <row r="3159" spans="5:16" hidden="1" x14ac:dyDescent="0.25">
      <c r="E3159" s="43">
        <f>COUNTIF($O$7:O3159,FORMULARIO!$AA$2)</f>
        <v>1</v>
      </c>
      <c r="M3159" s="46"/>
      <c r="P3159" s="16"/>
    </row>
    <row r="3160" spans="5:16" hidden="1" x14ac:dyDescent="0.25">
      <c r="E3160" s="43">
        <f>COUNTIF($O$7:O3160,FORMULARIO!$AA$2)</f>
        <v>1</v>
      </c>
      <c r="M3160" s="46"/>
      <c r="P3160" s="16"/>
    </row>
    <row r="3161" spans="5:16" hidden="1" x14ac:dyDescent="0.25">
      <c r="E3161" s="43">
        <f>COUNTIF($O$7:O3161,FORMULARIO!$AA$2)</f>
        <v>1</v>
      </c>
      <c r="M3161" s="46"/>
      <c r="P3161" s="16"/>
    </row>
    <row r="3162" spans="5:16" hidden="1" x14ac:dyDescent="0.25">
      <c r="E3162" s="43">
        <f>COUNTIF($O$7:O3162,FORMULARIO!$AA$2)</f>
        <v>1</v>
      </c>
      <c r="M3162" s="46"/>
      <c r="P3162" s="16"/>
    </row>
    <row r="3163" spans="5:16" hidden="1" x14ac:dyDescent="0.25">
      <c r="E3163" s="43">
        <f>COUNTIF($O$7:O3163,FORMULARIO!$AA$2)</f>
        <v>1</v>
      </c>
      <c r="M3163" s="46"/>
      <c r="P3163" s="16"/>
    </row>
    <row r="3164" spans="5:16" hidden="1" x14ac:dyDescent="0.25">
      <c r="E3164" s="43">
        <f>COUNTIF($O$7:O3164,FORMULARIO!$AA$2)</f>
        <v>1</v>
      </c>
      <c r="M3164" s="46"/>
      <c r="P3164" s="16"/>
    </row>
    <row r="3165" spans="5:16" hidden="1" x14ac:dyDescent="0.25">
      <c r="E3165" s="43">
        <f>COUNTIF($O$7:O3165,FORMULARIO!$AA$2)</f>
        <v>1</v>
      </c>
      <c r="M3165" s="46"/>
      <c r="P3165" s="16"/>
    </row>
    <row r="3166" spans="5:16" hidden="1" x14ac:dyDescent="0.25">
      <c r="E3166" s="43">
        <f>COUNTIF($O$7:O3166,FORMULARIO!$AA$2)</f>
        <v>1</v>
      </c>
      <c r="M3166" s="46"/>
      <c r="P3166" s="16"/>
    </row>
    <row r="3167" spans="5:16" hidden="1" x14ac:dyDescent="0.25">
      <c r="E3167" s="43">
        <f>COUNTIF($O$7:O3167,FORMULARIO!$AA$2)</f>
        <v>1</v>
      </c>
      <c r="M3167" s="46"/>
      <c r="P3167" s="16"/>
    </row>
    <row r="3168" spans="5:16" hidden="1" x14ac:dyDescent="0.25">
      <c r="E3168" s="43">
        <f>COUNTIF($O$7:O3168,FORMULARIO!$AA$2)</f>
        <v>1</v>
      </c>
      <c r="M3168" s="46"/>
      <c r="P3168" s="16"/>
    </row>
    <row r="3169" spans="5:16" hidden="1" x14ac:dyDescent="0.25">
      <c r="E3169" s="43">
        <f>COUNTIF($O$7:O3169,FORMULARIO!$AA$2)</f>
        <v>1</v>
      </c>
      <c r="M3169" s="46"/>
      <c r="P3169" s="16"/>
    </row>
    <row r="3170" spans="5:16" hidden="1" x14ac:dyDescent="0.25">
      <c r="E3170" s="43">
        <f>COUNTIF($O$7:O3170,FORMULARIO!$AA$2)</f>
        <v>1</v>
      </c>
      <c r="M3170" s="46"/>
      <c r="P3170" s="16"/>
    </row>
    <row r="3171" spans="5:16" hidden="1" x14ac:dyDescent="0.25">
      <c r="E3171" s="43">
        <f>COUNTIF($O$7:O3171,FORMULARIO!$AA$2)</f>
        <v>1</v>
      </c>
      <c r="M3171" s="46"/>
      <c r="P3171" s="16"/>
    </row>
    <row r="3172" spans="5:16" hidden="1" x14ac:dyDescent="0.25">
      <c r="E3172" s="43">
        <f>COUNTIF($O$7:O3172,FORMULARIO!$AA$2)</f>
        <v>1</v>
      </c>
      <c r="M3172" s="46"/>
      <c r="P3172" s="16"/>
    </row>
    <row r="3173" spans="5:16" hidden="1" x14ac:dyDescent="0.25">
      <c r="E3173" s="43">
        <f>COUNTIF($O$7:O3173,FORMULARIO!$AA$2)</f>
        <v>1</v>
      </c>
      <c r="M3173" s="46"/>
      <c r="P3173" s="16"/>
    </row>
    <row r="3174" spans="5:16" hidden="1" x14ac:dyDescent="0.25">
      <c r="E3174" s="43">
        <f>COUNTIF($O$7:O3174,FORMULARIO!$AA$2)</f>
        <v>1</v>
      </c>
      <c r="M3174" s="46"/>
      <c r="P3174" s="16"/>
    </row>
    <row r="3175" spans="5:16" hidden="1" x14ac:dyDescent="0.25">
      <c r="E3175" s="43">
        <f>COUNTIF($O$7:O3175,FORMULARIO!$AA$2)</f>
        <v>1</v>
      </c>
      <c r="M3175" s="46"/>
      <c r="P3175" s="16"/>
    </row>
    <row r="3176" spans="5:16" hidden="1" x14ac:dyDescent="0.25">
      <c r="E3176" s="43">
        <f>COUNTIF($O$7:O3176,FORMULARIO!$AA$2)</f>
        <v>1</v>
      </c>
      <c r="M3176" s="46"/>
      <c r="P3176" s="16"/>
    </row>
    <row r="3177" spans="5:16" hidden="1" x14ac:dyDescent="0.25">
      <c r="E3177" s="43">
        <f>COUNTIF($O$7:O3177,FORMULARIO!$AA$2)</f>
        <v>1</v>
      </c>
      <c r="M3177" s="46"/>
      <c r="P3177" s="16"/>
    </row>
    <row r="3178" spans="5:16" hidden="1" x14ac:dyDescent="0.25">
      <c r="E3178" s="43">
        <f>COUNTIF($O$7:O3178,FORMULARIO!$AA$2)</f>
        <v>1</v>
      </c>
      <c r="M3178" s="46"/>
      <c r="P3178" s="16"/>
    </row>
    <row r="3179" spans="5:16" hidden="1" x14ac:dyDescent="0.25">
      <c r="E3179" s="43">
        <f>COUNTIF($O$7:O3179,FORMULARIO!$AA$2)</f>
        <v>1</v>
      </c>
      <c r="M3179" s="46"/>
      <c r="P3179" s="16"/>
    </row>
    <row r="3180" spans="5:16" hidden="1" x14ac:dyDescent="0.25">
      <c r="E3180" s="43">
        <f>COUNTIF($O$7:O3180,FORMULARIO!$AA$2)</f>
        <v>1</v>
      </c>
      <c r="M3180" s="46"/>
      <c r="P3180" s="16"/>
    </row>
    <row r="3181" spans="5:16" hidden="1" x14ac:dyDescent="0.25">
      <c r="E3181" s="43">
        <f>COUNTIF($O$7:O3181,FORMULARIO!$AA$2)</f>
        <v>1</v>
      </c>
      <c r="M3181" s="46"/>
      <c r="P3181" s="16"/>
    </row>
    <row r="3182" spans="5:16" hidden="1" x14ac:dyDescent="0.25">
      <c r="E3182" s="43">
        <f>COUNTIF($O$7:O3182,FORMULARIO!$AA$2)</f>
        <v>1</v>
      </c>
      <c r="M3182" s="46"/>
      <c r="P3182" s="16"/>
    </row>
    <row r="3183" spans="5:16" hidden="1" x14ac:dyDescent="0.25">
      <c r="E3183" s="43">
        <f>COUNTIF($O$7:O3183,FORMULARIO!$AA$2)</f>
        <v>1</v>
      </c>
      <c r="M3183" s="46"/>
      <c r="P3183" s="16"/>
    </row>
    <row r="3184" spans="5:16" hidden="1" x14ac:dyDescent="0.25">
      <c r="E3184" s="43">
        <f>COUNTIF($O$7:O3184,FORMULARIO!$AA$2)</f>
        <v>1</v>
      </c>
      <c r="M3184" s="46"/>
      <c r="P3184" s="16"/>
    </row>
    <row r="3185" spans="5:16" hidden="1" x14ac:dyDescent="0.25">
      <c r="E3185" s="43">
        <f>COUNTIF($O$7:O3185,FORMULARIO!$AA$2)</f>
        <v>1</v>
      </c>
      <c r="M3185" s="46"/>
      <c r="P3185" s="16"/>
    </row>
    <row r="3186" spans="5:16" hidden="1" x14ac:dyDescent="0.25">
      <c r="E3186" s="43">
        <f>COUNTIF($O$7:O3186,FORMULARIO!$AA$2)</f>
        <v>1</v>
      </c>
      <c r="M3186" s="46"/>
      <c r="P3186" s="16"/>
    </row>
    <row r="3187" spans="5:16" hidden="1" x14ac:dyDescent="0.25">
      <c r="E3187" s="43">
        <f>COUNTIF($O$7:O3187,FORMULARIO!$AA$2)</f>
        <v>1</v>
      </c>
      <c r="M3187" s="46"/>
      <c r="P3187" s="16"/>
    </row>
    <row r="3188" spans="5:16" hidden="1" x14ac:dyDescent="0.25">
      <c r="E3188" s="43">
        <f>COUNTIF($O$7:O3188,FORMULARIO!$AA$2)</f>
        <v>1</v>
      </c>
      <c r="M3188" s="46"/>
      <c r="P3188" s="16"/>
    </row>
    <row r="3189" spans="5:16" hidden="1" x14ac:dyDescent="0.25">
      <c r="E3189" s="43">
        <f>COUNTIF($O$7:O3189,FORMULARIO!$AA$2)</f>
        <v>1</v>
      </c>
      <c r="M3189" s="46"/>
      <c r="P3189" s="16"/>
    </row>
    <row r="3190" spans="5:16" hidden="1" x14ac:dyDescent="0.25">
      <c r="E3190" s="43">
        <f>COUNTIF($O$7:O3190,FORMULARIO!$AA$2)</f>
        <v>1</v>
      </c>
      <c r="M3190" s="46"/>
      <c r="P3190" s="16"/>
    </row>
    <row r="3191" spans="5:16" hidden="1" x14ac:dyDescent="0.25">
      <c r="E3191" s="43">
        <f>COUNTIF($O$7:O3191,FORMULARIO!$AA$2)</f>
        <v>1</v>
      </c>
      <c r="M3191" s="46"/>
      <c r="P3191" s="16"/>
    </row>
    <row r="3192" spans="5:16" hidden="1" x14ac:dyDescent="0.25">
      <c r="E3192" s="43">
        <f>COUNTIF($O$7:O3192,FORMULARIO!$AA$2)</f>
        <v>1</v>
      </c>
      <c r="M3192" s="46"/>
      <c r="P3192" s="16"/>
    </row>
    <row r="3193" spans="5:16" hidden="1" x14ac:dyDescent="0.25">
      <c r="E3193" s="43">
        <f>COUNTIF($O$7:O3193,FORMULARIO!$AA$2)</f>
        <v>1</v>
      </c>
      <c r="M3193" s="46"/>
      <c r="P3193" s="16"/>
    </row>
    <row r="3194" spans="5:16" hidden="1" x14ac:dyDescent="0.25">
      <c r="E3194" s="43">
        <f>COUNTIF($O$7:O3194,FORMULARIO!$AA$2)</f>
        <v>1</v>
      </c>
      <c r="M3194" s="46"/>
      <c r="P3194" s="16"/>
    </row>
    <row r="3195" spans="5:16" hidden="1" x14ac:dyDescent="0.25">
      <c r="E3195" s="43">
        <f>COUNTIF($O$7:O3195,FORMULARIO!$AA$2)</f>
        <v>1</v>
      </c>
      <c r="M3195" s="46"/>
      <c r="P3195" s="16"/>
    </row>
    <row r="3196" spans="5:16" hidden="1" x14ac:dyDescent="0.25">
      <c r="E3196" s="43">
        <f>COUNTIF($O$7:O3196,FORMULARIO!$AA$2)</f>
        <v>1</v>
      </c>
      <c r="M3196" s="46"/>
      <c r="P3196" s="16"/>
    </row>
    <row r="3197" spans="5:16" hidden="1" x14ac:dyDescent="0.25">
      <c r="E3197" s="43">
        <f>COUNTIF($O$7:O3197,FORMULARIO!$AA$2)</f>
        <v>1</v>
      </c>
      <c r="M3197" s="46"/>
      <c r="P3197" s="16"/>
    </row>
    <row r="3198" spans="5:16" hidden="1" x14ac:dyDescent="0.25">
      <c r="E3198" s="43">
        <f>COUNTIF($O$7:O3198,FORMULARIO!$AA$2)</f>
        <v>1</v>
      </c>
      <c r="M3198" s="46"/>
      <c r="P3198" s="16"/>
    </row>
    <row r="3199" spans="5:16" hidden="1" x14ac:dyDescent="0.25">
      <c r="E3199" s="43">
        <f>COUNTIF($O$7:O3199,FORMULARIO!$AA$2)</f>
        <v>1</v>
      </c>
      <c r="M3199" s="46"/>
      <c r="P3199" s="16"/>
    </row>
    <row r="3200" spans="5:16" hidden="1" x14ac:dyDescent="0.25">
      <c r="E3200" s="43">
        <f>COUNTIF($O$7:O3200,FORMULARIO!$AA$2)</f>
        <v>1</v>
      </c>
      <c r="M3200" s="46"/>
      <c r="P3200" s="16"/>
    </row>
    <row r="3201" spans="5:16" hidden="1" x14ac:dyDescent="0.25">
      <c r="E3201" s="43">
        <f>COUNTIF($O$7:O3201,FORMULARIO!$AA$2)</f>
        <v>1</v>
      </c>
      <c r="M3201" s="46"/>
      <c r="P3201" s="16"/>
    </row>
    <row r="3202" spans="5:16" hidden="1" x14ac:dyDescent="0.25">
      <c r="E3202" s="43">
        <f>COUNTIF($O$7:O3202,FORMULARIO!$AA$2)</f>
        <v>1</v>
      </c>
      <c r="M3202" s="46"/>
      <c r="P3202" s="16"/>
    </row>
    <row r="3203" spans="5:16" hidden="1" x14ac:dyDescent="0.25">
      <c r="E3203" s="43">
        <f>COUNTIF($O$7:O3203,FORMULARIO!$AA$2)</f>
        <v>1</v>
      </c>
      <c r="M3203" s="46"/>
      <c r="P3203" s="16"/>
    </row>
    <row r="3204" spans="5:16" hidden="1" x14ac:dyDescent="0.25">
      <c r="E3204" s="43">
        <f>COUNTIF($O$7:O3204,FORMULARIO!$AA$2)</f>
        <v>1</v>
      </c>
      <c r="M3204" s="46"/>
      <c r="P3204" s="16"/>
    </row>
    <row r="3205" spans="5:16" hidden="1" x14ac:dyDescent="0.25">
      <c r="E3205" s="43">
        <f>COUNTIF($O$7:O3205,FORMULARIO!$AA$2)</f>
        <v>1</v>
      </c>
      <c r="M3205" s="46"/>
      <c r="P3205" s="16"/>
    </row>
    <row r="3206" spans="5:16" hidden="1" x14ac:dyDescent="0.25">
      <c r="E3206" s="43">
        <f>COUNTIF($O$7:O3206,FORMULARIO!$AA$2)</f>
        <v>1</v>
      </c>
      <c r="M3206" s="46"/>
      <c r="P3206" s="16"/>
    </row>
    <row r="3207" spans="5:16" hidden="1" x14ac:dyDescent="0.25">
      <c r="E3207" s="43">
        <f>COUNTIF($O$7:O3207,FORMULARIO!$AA$2)</f>
        <v>1</v>
      </c>
      <c r="M3207" s="46"/>
      <c r="P3207" s="16"/>
    </row>
    <row r="3208" spans="5:16" hidden="1" x14ac:dyDescent="0.25">
      <c r="E3208" s="43">
        <f>COUNTIF($O$7:O3208,FORMULARIO!$AA$2)</f>
        <v>1</v>
      </c>
      <c r="M3208" s="46"/>
      <c r="P3208" s="16"/>
    </row>
    <row r="3209" spans="5:16" hidden="1" x14ac:dyDescent="0.25">
      <c r="E3209" s="43">
        <f>COUNTIF($O$7:O3209,FORMULARIO!$AA$2)</f>
        <v>1</v>
      </c>
      <c r="M3209" s="46"/>
      <c r="P3209" s="16"/>
    </row>
    <row r="3210" spans="5:16" hidden="1" x14ac:dyDescent="0.25">
      <c r="E3210" s="43">
        <f>COUNTIF($O$7:O3210,FORMULARIO!$AA$2)</f>
        <v>1</v>
      </c>
      <c r="M3210" s="46"/>
      <c r="P3210" s="16"/>
    </row>
    <row r="3211" spans="5:16" hidden="1" x14ac:dyDescent="0.25">
      <c r="E3211" s="43">
        <f>COUNTIF($O$7:O3211,FORMULARIO!$AA$2)</f>
        <v>1</v>
      </c>
      <c r="M3211" s="46"/>
      <c r="P3211" s="16"/>
    </row>
    <row r="3212" spans="5:16" hidden="1" x14ac:dyDescent="0.25">
      <c r="E3212" s="43">
        <f>COUNTIF($O$7:O3212,FORMULARIO!$AA$2)</f>
        <v>1</v>
      </c>
      <c r="M3212" s="46"/>
      <c r="P3212" s="16"/>
    </row>
    <row r="3213" spans="5:16" hidden="1" x14ac:dyDescent="0.25">
      <c r="E3213" s="43">
        <f>COUNTIF($O$7:O3213,FORMULARIO!$AA$2)</f>
        <v>1</v>
      </c>
      <c r="M3213" s="46"/>
      <c r="P3213" s="16"/>
    </row>
    <row r="3214" spans="5:16" hidden="1" x14ac:dyDescent="0.25">
      <c r="E3214" s="43">
        <f>COUNTIF($O$7:O3214,FORMULARIO!$AA$2)</f>
        <v>1</v>
      </c>
      <c r="M3214" s="46"/>
      <c r="P3214" s="16"/>
    </row>
    <row r="3215" spans="5:16" hidden="1" x14ac:dyDescent="0.25">
      <c r="E3215" s="43">
        <f>COUNTIF($O$7:O3215,FORMULARIO!$AA$2)</f>
        <v>1</v>
      </c>
      <c r="M3215" s="46"/>
      <c r="P3215" s="16"/>
    </row>
    <row r="3216" spans="5:16" hidden="1" x14ac:dyDescent="0.25">
      <c r="E3216" s="43">
        <f>COUNTIF($O$7:O3216,FORMULARIO!$AA$2)</f>
        <v>1</v>
      </c>
      <c r="M3216" s="46"/>
      <c r="P3216" s="16"/>
    </row>
    <row r="3217" spans="5:16" hidden="1" x14ac:dyDescent="0.25">
      <c r="E3217" s="43">
        <f>COUNTIF($O$7:O3217,FORMULARIO!$AA$2)</f>
        <v>1</v>
      </c>
      <c r="M3217" s="46"/>
      <c r="P3217" s="16"/>
    </row>
    <row r="3218" spans="5:16" hidden="1" x14ac:dyDescent="0.25">
      <c r="E3218" s="43">
        <f>COUNTIF($O$7:O3218,FORMULARIO!$AA$2)</f>
        <v>1</v>
      </c>
      <c r="M3218" s="46"/>
      <c r="P3218" s="16"/>
    </row>
    <row r="3219" spans="5:16" hidden="1" x14ac:dyDescent="0.25">
      <c r="E3219" s="43">
        <f>COUNTIF($O$7:O3219,FORMULARIO!$AA$2)</f>
        <v>1</v>
      </c>
      <c r="M3219" s="46"/>
      <c r="P3219" s="16"/>
    </row>
    <row r="3220" spans="5:16" hidden="1" x14ac:dyDescent="0.25">
      <c r="E3220" s="43">
        <f>COUNTIF($O$7:O3220,FORMULARIO!$AA$2)</f>
        <v>1</v>
      </c>
      <c r="M3220" s="46"/>
      <c r="P3220" s="16"/>
    </row>
    <row r="3221" spans="5:16" hidden="1" x14ac:dyDescent="0.25">
      <c r="E3221" s="43">
        <f>COUNTIF($O$7:O3221,FORMULARIO!$AA$2)</f>
        <v>1</v>
      </c>
      <c r="M3221" s="46"/>
      <c r="P3221" s="16"/>
    </row>
    <row r="3222" spans="5:16" hidden="1" x14ac:dyDescent="0.25">
      <c r="E3222" s="43">
        <f>COUNTIF($O$7:O3222,FORMULARIO!$AA$2)</f>
        <v>1</v>
      </c>
      <c r="M3222" s="46"/>
      <c r="P3222" s="16"/>
    </row>
    <row r="3223" spans="5:16" hidden="1" x14ac:dyDescent="0.25">
      <c r="E3223" s="43">
        <f>COUNTIF($O$7:O3223,FORMULARIO!$AA$2)</f>
        <v>1</v>
      </c>
      <c r="M3223" s="46"/>
      <c r="P3223" s="16"/>
    </row>
    <row r="3224" spans="5:16" hidden="1" x14ac:dyDescent="0.25">
      <c r="E3224" s="43">
        <f>COUNTIF($O$7:O3224,FORMULARIO!$AA$2)</f>
        <v>1</v>
      </c>
      <c r="M3224" s="46"/>
      <c r="P3224" s="16"/>
    </row>
    <row r="3225" spans="5:16" hidden="1" x14ac:dyDescent="0.25">
      <c r="E3225" s="43">
        <f>COUNTIF($O$7:O3225,FORMULARIO!$AA$2)</f>
        <v>1</v>
      </c>
      <c r="M3225" s="46"/>
      <c r="P3225" s="16"/>
    </row>
    <row r="3226" spans="5:16" hidden="1" x14ac:dyDescent="0.25">
      <c r="E3226" s="43">
        <f>COUNTIF($O$7:O3226,FORMULARIO!$AA$2)</f>
        <v>1</v>
      </c>
      <c r="M3226" s="46"/>
      <c r="P3226" s="16"/>
    </row>
    <row r="3227" spans="5:16" hidden="1" x14ac:dyDescent="0.25">
      <c r="E3227" s="43">
        <f>COUNTIF($O$7:O3227,FORMULARIO!$AA$2)</f>
        <v>1</v>
      </c>
      <c r="M3227" s="46"/>
      <c r="P3227" s="16"/>
    </row>
    <row r="3228" spans="5:16" hidden="1" x14ac:dyDescent="0.25">
      <c r="E3228" s="43">
        <f>COUNTIF($O$7:O3228,FORMULARIO!$AA$2)</f>
        <v>1</v>
      </c>
      <c r="M3228" s="46"/>
      <c r="P3228" s="16"/>
    </row>
    <row r="3229" spans="5:16" hidden="1" x14ac:dyDescent="0.25">
      <c r="E3229" s="43">
        <f>COUNTIF($O$7:O3229,FORMULARIO!$AA$2)</f>
        <v>1</v>
      </c>
      <c r="M3229" s="46"/>
      <c r="P3229" s="16"/>
    </row>
    <row r="3230" spans="5:16" hidden="1" x14ac:dyDescent="0.25">
      <c r="E3230" s="43">
        <f>COUNTIF($O$7:O3230,FORMULARIO!$AA$2)</f>
        <v>1</v>
      </c>
      <c r="M3230" s="46"/>
      <c r="P3230" s="16"/>
    </row>
    <row r="3231" spans="5:16" hidden="1" x14ac:dyDescent="0.25">
      <c r="E3231" s="43">
        <f>COUNTIF($O$7:O3231,FORMULARIO!$AA$2)</f>
        <v>1</v>
      </c>
      <c r="M3231" s="46"/>
      <c r="P3231" s="16"/>
    </row>
    <row r="3232" spans="5:16" hidden="1" x14ac:dyDescent="0.25">
      <c r="E3232" s="43">
        <f>COUNTIF($O$7:O3232,FORMULARIO!$AA$2)</f>
        <v>1</v>
      </c>
      <c r="M3232" s="46"/>
      <c r="P3232" s="16"/>
    </row>
    <row r="3233" spans="5:16" hidden="1" x14ac:dyDescent="0.25">
      <c r="E3233" s="43">
        <f>COUNTIF($O$7:O3233,FORMULARIO!$AA$2)</f>
        <v>1</v>
      </c>
      <c r="M3233" s="46"/>
      <c r="P3233" s="16"/>
    </row>
    <row r="3234" spans="5:16" hidden="1" x14ac:dyDescent="0.25">
      <c r="E3234" s="43">
        <f>COUNTIF($O$7:O3234,FORMULARIO!$AA$2)</f>
        <v>1</v>
      </c>
      <c r="M3234" s="46"/>
      <c r="P3234" s="16"/>
    </row>
    <row r="3235" spans="5:16" hidden="1" x14ac:dyDescent="0.25">
      <c r="E3235" s="43">
        <f>COUNTIF($O$7:O3235,FORMULARIO!$AA$2)</f>
        <v>1</v>
      </c>
      <c r="M3235" s="46"/>
      <c r="P3235" s="16"/>
    </row>
    <row r="3236" spans="5:16" hidden="1" x14ac:dyDescent="0.25">
      <c r="E3236" s="43">
        <f>COUNTIF($O$7:O3236,FORMULARIO!$AA$2)</f>
        <v>1</v>
      </c>
      <c r="M3236" s="46"/>
      <c r="P3236" s="16"/>
    </row>
    <row r="3237" spans="5:16" hidden="1" x14ac:dyDescent="0.25">
      <c r="E3237" s="43">
        <f>COUNTIF($O$7:O3237,FORMULARIO!$AA$2)</f>
        <v>1</v>
      </c>
      <c r="M3237" s="46"/>
      <c r="P3237" s="16"/>
    </row>
    <row r="3238" spans="5:16" hidden="1" x14ac:dyDescent="0.25">
      <c r="E3238" s="43">
        <f>COUNTIF($O$7:O3238,FORMULARIO!$AA$2)</f>
        <v>1</v>
      </c>
      <c r="M3238" s="46"/>
      <c r="P3238" s="16"/>
    </row>
    <row r="3239" spans="5:16" hidden="1" x14ac:dyDescent="0.25">
      <c r="E3239" s="43">
        <f>COUNTIF($O$7:O3239,FORMULARIO!$AA$2)</f>
        <v>1</v>
      </c>
      <c r="M3239" s="46"/>
      <c r="P3239" s="16"/>
    </row>
    <row r="3240" spans="5:16" hidden="1" x14ac:dyDescent="0.25">
      <c r="E3240" s="43">
        <f>COUNTIF($O$7:O3240,FORMULARIO!$AA$2)</f>
        <v>1</v>
      </c>
      <c r="M3240" s="46"/>
      <c r="P3240" s="16"/>
    </row>
    <row r="3241" spans="5:16" hidden="1" x14ac:dyDescent="0.25">
      <c r="E3241" s="43">
        <f>COUNTIF($O$7:O3241,FORMULARIO!$AA$2)</f>
        <v>1</v>
      </c>
      <c r="M3241" s="46"/>
      <c r="P3241" s="16"/>
    </row>
    <row r="3242" spans="5:16" hidden="1" x14ac:dyDescent="0.25">
      <c r="E3242" s="43">
        <f>COUNTIF($O$7:O3242,FORMULARIO!$AA$2)</f>
        <v>1</v>
      </c>
      <c r="M3242" s="46"/>
      <c r="P3242" s="16"/>
    </row>
    <row r="3243" spans="5:16" hidden="1" x14ac:dyDescent="0.25">
      <c r="E3243" s="43">
        <f>COUNTIF($O$7:O3243,FORMULARIO!$AA$2)</f>
        <v>1</v>
      </c>
      <c r="M3243" s="46"/>
      <c r="P3243" s="16"/>
    </row>
    <row r="3244" spans="5:16" hidden="1" x14ac:dyDescent="0.25">
      <c r="E3244" s="43">
        <f>COUNTIF($O$7:O3244,FORMULARIO!$AA$2)</f>
        <v>1</v>
      </c>
      <c r="M3244" s="46"/>
      <c r="P3244" s="16"/>
    </row>
    <row r="3245" spans="5:16" hidden="1" x14ac:dyDescent="0.25">
      <c r="E3245" s="43">
        <f>COUNTIF($O$7:O3245,FORMULARIO!$AA$2)</f>
        <v>1</v>
      </c>
      <c r="M3245" s="46"/>
      <c r="P3245" s="16"/>
    </row>
    <row r="3246" spans="5:16" hidden="1" x14ac:dyDescent="0.25">
      <c r="E3246" s="43">
        <f>COUNTIF($O$7:O3246,FORMULARIO!$AA$2)</f>
        <v>1</v>
      </c>
      <c r="M3246" s="46"/>
      <c r="P3246" s="16"/>
    </row>
    <row r="3247" spans="5:16" hidden="1" x14ac:dyDescent="0.25">
      <c r="E3247" s="43">
        <f>COUNTIF($O$7:O3247,FORMULARIO!$AA$2)</f>
        <v>1</v>
      </c>
      <c r="M3247" s="46"/>
      <c r="P3247" s="16"/>
    </row>
    <row r="3248" spans="5:16" hidden="1" x14ac:dyDescent="0.25">
      <c r="E3248" s="43">
        <f>COUNTIF($O$7:O3248,FORMULARIO!$AA$2)</f>
        <v>1</v>
      </c>
      <c r="M3248" s="46"/>
      <c r="P3248" s="16"/>
    </row>
    <row r="3249" spans="5:16" hidden="1" x14ac:dyDescent="0.25">
      <c r="E3249" s="43">
        <f>COUNTIF($O$7:O3249,FORMULARIO!$AA$2)</f>
        <v>1</v>
      </c>
      <c r="M3249" s="46"/>
      <c r="P3249" s="16"/>
    </row>
    <row r="3250" spans="5:16" hidden="1" x14ac:dyDescent="0.25">
      <c r="E3250" s="43">
        <f>COUNTIF($O$7:O3250,FORMULARIO!$AA$2)</f>
        <v>1</v>
      </c>
      <c r="M3250" s="46"/>
      <c r="P3250" s="16"/>
    </row>
    <row r="3251" spans="5:16" hidden="1" x14ac:dyDescent="0.25">
      <c r="E3251" s="43">
        <f>COUNTIF($O$7:O3251,FORMULARIO!$AA$2)</f>
        <v>1</v>
      </c>
      <c r="M3251" s="46"/>
      <c r="P3251" s="16"/>
    </row>
    <row r="3252" spans="5:16" hidden="1" x14ac:dyDescent="0.25">
      <c r="E3252" s="43">
        <f>COUNTIF($O$7:O3252,FORMULARIO!$AA$2)</f>
        <v>1</v>
      </c>
      <c r="M3252" s="46"/>
      <c r="P3252" s="16"/>
    </row>
    <row r="3253" spans="5:16" hidden="1" x14ac:dyDescent="0.25">
      <c r="E3253" s="43">
        <f>COUNTIF($O$7:O3253,FORMULARIO!$AA$2)</f>
        <v>1</v>
      </c>
      <c r="M3253" s="46"/>
      <c r="P3253" s="16"/>
    </row>
    <row r="3254" spans="5:16" hidden="1" x14ac:dyDescent="0.25">
      <c r="E3254" s="43">
        <f>COUNTIF($O$7:O3254,FORMULARIO!$AA$2)</f>
        <v>1</v>
      </c>
      <c r="M3254" s="46"/>
      <c r="P3254" s="16"/>
    </row>
    <row r="3255" spans="5:16" hidden="1" x14ac:dyDescent="0.25">
      <c r="E3255" s="43">
        <f>COUNTIF($O$7:O3255,FORMULARIO!$AA$2)</f>
        <v>1</v>
      </c>
      <c r="M3255" s="46"/>
      <c r="P3255" s="16"/>
    </row>
    <row r="3256" spans="5:16" hidden="1" x14ac:dyDescent="0.25">
      <c r="E3256" s="43">
        <f>COUNTIF($O$7:O3256,FORMULARIO!$AA$2)</f>
        <v>1</v>
      </c>
      <c r="M3256" s="46"/>
      <c r="P3256" s="16"/>
    </row>
    <row r="3257" spans="5:16" hidden="1" x14ac:dyDescent="0.25">
      <c r="E3257" s="43">
        <f>COUNTIF($O$7:O3257,FORMULARIO!$AA$2)</f>
        <v>1</v>
      </c>
      <c r="M3257" s="46"/>
      <c r="P3257" s="16"/>
    </row>
    <row r="3258" spans="5:16" hidden="1" x14ac:dyDescent="0.25">
      <c r="E3258" s="43">
        <f>COUNTIF($O$7:O3258,FORMULARIO!$AA$2)</f>
        <v>1</v>
      </c>
      <c r="M3258" s="46"/>
      <c r="P3258" s="16"/>
    </row>
    <row r="3259" spans="5:16" hidden="1" x14ac:dyDescent="0.25">
      <c r="E3259" s="43">
        <f>COUNTIF($O$7:O3259,FORMULARIO!$AA$2)</f>
        <v>1</v>
      </c>
      <c r="M3259" s="46"/>
      <c r="P3259" s="16"/>
    </row>
    <row r="3260" spans="5:16" hidden="1" x14ac:dyDescent="0.25">
      <c r="E3260" s="43">
        <f>COUNTIF($O$7:O3260,FORMULARIO!$AA$2)</f>
        <v>1</v>
      </c>
      <c r="M3260" s="46"/>
      <c r="P3260" s="16"/>
    </row>
    <row r="3261" spans="5:16" hidden="1" x14ac:dyDescent="0.25">
      <c r="E3261" s="43">
        <f>COUNTIF($O$7:O3261,FORMULARIO!$AA$2)</f>
        <v>1</v>
      </c>
      <c r="M3261" s="46"/>
      <c r="P3261" s="16"/>
    </row>
    <row r="3262" spans="5:16" hidden="1" x14ac:dyDescent="0.25">
      <c r="E3262" s="43">
        <f>COUNTIF($O$7:O3262,FORMULARIO!$AA$2)</f>
        <v>1</v>
      </c>
      <c r="M3262" s="46"/>
      <c r="P3262" s="16"/>
    </row>
    <row r="3263" spans="5:16" hidden="1" x14ac:dyDescent="0.25">
      <c r="E3263" s="43">
        <f>COUNTIF($O$7:O3263,FORMULARIO!$AA$2)</f>
        <v>1</v>
      </c>
      <c r="M3263" s="46"/>
      <c r="P3263" s="16"/>
    </row>
    <row r="3264" spans="5:16" hidden="1" x14ac:dyDescent="0.25">
      <c r="E3264" s="43">
        <f>COUNTIF($O$7:O3264,FORMULARIO!$AA$2)</f>
        <v>1</v>
      </c>
      <c r="M3264" s="46"/>
      <c r="P3264" s="16"/>
    </row>
    <row r="3265" spans="5:16" hidden="1" x14ac:dyDescent="0.25">
      <c r="E3265" s="43">
        <f>COUNTIF($O$7:O3265,FORMULARIO!$AA$2)</f>
        <v>1</v>
      </c>
      <c r="M3265" s="46"/>
      <c r="P3265" s="16"/>
    </row>
    <row r="3266" spans="5:16" hidden="1" x14ac:dyDescent="0.25">
      <c r="E3266" s="43">
        <f>COUNTIF($O$7:O3266,FORMULARIO!$AA$2)</f>
        <v>1</v>
      </c>
      <c r="M3266" s="46"/>
      <c r="P3266" s="16"/>
    </row>
    <row r="3267" spans="5:16" hidden="1" x14ac:dyDescent="0.25">
      <c r="E3267" s="43">
        <f>COUNTIF($O$7:O3267,FORMULARIO!$AA$2)</f>
        <v>1</v>
      </c>
      <c r="M3267" s="46"/>
      <c r="P3267" s="16"/>
    </row>
    <row r="3268" spans="5:16" hidden="1" x14ac:dyDescent="0.25">
      <c r="E3268" s="43">
        <f>COUNTIF($O$7:O3268,FORMULARIO!$AA$2)</f>
        <v>1</v>
      </c>
      <c r="M3268" s="46"/>
      <c r="P3268" s="16"/>
    </row>
    <row r="3269" spans="5:16" hidden="1" x14ac:dyDescent="0.25">
      <c r="E3269" s="43">
        <f>COUNTIF($O$7:O3269,FORMULARIO!$AA$2)</f>
        <v>1</v>
      </c>
      <c r="M3269" s="46"/>
      <c r="P3269" s="16"/>
    </row>
    <row r="3270" spans="5:16" hidden="1" x14ac:dyDescent="0.25">
      <c r="E3270" s="43">
        <f>COUNTIF($O$7:O3270,FORMULARIO!$AA$2)</f>
        <v>1</v>
      </c>
      <c r="M3270" s="46"/>
      <c r="P3270" s="16"/>
    </row>
    <row r="3271" spans="5:16" hidden="1" x14ac:dyDescent="0.25">
      <c r="E3271" s="43">
        <f>COUNTIF($O$7:O3271,FORMULARIO!$AA$2)</f>
        <v>1</v>
      </c>
      <c r="M3271" s="46"/>
      <c r="P3271" s="16"/>
    </row>
    <row r="3272" spans="5:16" hidden="1" x14ac:dyDescent="0.25">
      <c r="E3272" s="43">
        <f>COUNTIF($O$7:O3272,FORMULARIO!$AA$2)</f>
        <v>1</v>
      </c>
      <c r="M3272" s="46"/>
      <c r="P3272" s="16"/>
    </row>
    <row r="3273" spans="5:16" hidden="1" x14ac:dyDescent="0.25">
      <c r="E3273" s="43">
        <f>COUNTIF($O$7:O3273,FORMULARIO!$AA$2)</f>
        <v>1</v>
      </c>
      <c r="M3273" s="46"/>
      <c r="P3273" s="16"/>
    </row>
    <row r="3274" spans="5:16" hidden="1" x14ac:dyDescent="0.25">
      <c r="E3274" s="43">
        <f>COUNTIF($O$7:O3274,FORMULARIO!$AA$2)</f>
        <v>1</v>
      </c>
      <c r="M3274" s="46"/>
      <c r="P3274" s="16"/>
    </row>
    <row r="3275" spans="5:16" hidden="1" x14ac:dyDescent="0.25">
      <c r="E3275" s="43">
        <f>COUNTIF($O$7:O3275,FORMULARIO!$AA$2)</f>
        <v>1</v>
      </c>
      <c r="M3275" s="46"/>
      <c r="P3275" s="16"/>
    </row>
    <row r="3276" spans="5:16" hidden="1" x14ac:dyDescent="0.25">
      <c r="E3276" s="43">
        <f>COUNTIF($O$7:O3276,FORMULARIO!$AA$2)</f>
        <v>1</v>
      </c>
      <c r="M3276" s="46"/>
      <c r="P3276" s="16"/>
    </row>
    <row r="3277" spans="5:16" hidden="1" x14ac:dyDescent="0.25">
      <c r="E3277" s="43">
        <f>COUNTIF($O$7:O3277,FORMULARIO!$AA$2)</f>
        <v>1</v>
      </c>
      <c r="M3277" s="46"/>
      <c r="P3277" s="16"/>
    </row>
    <row r="3278" spans="5:16" hidden="1" x14ac:dyDescent="0.25">
      <c r="E3278" s="43">
        <f>COUNTIF($O$7:O3278,FORMULARIO!$AA$2)</f>
        <v>1</v>
      </c>
      <c r="M3278" s="46"/>
      <c r="P3278" s="16"/>
    </row>
    <row r="3279" spans="5:16" hidden="1" x14ac:dyDescent="0.25">
      <c r="E3279" s="43">
        <f>COUNTIF($O$7:O3279,FORMULARIO!$AA$2)</f>
        <v>1</v>
      </c>
      <c r="M3279" s="46"/>
      <c r="P3279" s="16"/>
    </row>
    <row r="3280" spans="5:16" hidden="1" x14ac:dyDescent="0.25">
      <c r="E3280" s="43">
        <f>COUNTIF($O$7:O3280,FORMULARIO!$AA$2)</f>
        <v>1</v>
      </c>
      <c r="M3280" s="46"/>
      <c r="P3280" s="16"/>
    </row>
    <row r="3281" spans="5:16" hidden="1" x14ac:dyDescent="0.25">
      <c r="E3281" s="43">
        <f>COUNTIF($O$7:O3281,FORMULARIO!$AA$2)</f>
        <v>1</v>
      </c>
      <c r="M3281" s="46"/>
      <c r="P3281" s="16"/>
    </row>
    <row r="3282" spans="5:16" hidden="1" x14ac:dyDescent="0.25">
      <c r="E3282" s="43">
        <f>COUNTIF($O$7:O3282,FORMULARIO!$AA$2)</f>
        <v>1</v>
      </c>
      <c r="M3282" s="46"/>
      <c r="P3282" s="16"/>
    </row>
    <row r="3283" spans="5:16" hidden="1" x14ac:dyDescent="0.25">
      <c r="E3283" s="43">
        <f>COUNTIF($O$7:O3283,FORMULARIO!$AA$2)</f>
        <v>1</v>
      </c>
      <c r="M3283" s="46"/>
      <c r="P3283" s="16"/>
    </row>
    <row r="3284" spans="5:16" hidden="1" x14ac:dyDescent="0.25">
      <c r="E3284" s="43">
        <f>COUNTIF($O$7:O3284,FORMULARIO!$AA$2)</f>
        <v>1</v>
      </c>
      <c r="M3284" s="46"/>
      <c r="P3284" s="16"/>
    </row>
    <row r="3285" spans="5:16" hidden="1" x14ac:dyDescent="0.25">
      <c r="E3285" s="43">
        <f>COUNTIF($O$7:O3285,FORMULARIO!$AA$2)</f>
        <v>1</v>
      </c>
      <c r="M3285" s="46"/>
      <c r="P3285" s="16"/>
    </row>
    <row r="3286" spans="5:16" hidden="1" x14ac:dyDescent="0.25">
      <c r="E3286" s="43">
        <f>COUNTIF($O$7:O3286,FORMULARIO!$AA$2)</f>
        <v>1</v>
      </c>
      <c r="M3286" s="46"/>
      <c r="P3286" s="16"/>
    </row>
    <row r="3287" spans="5:16" hidden="1" x14ac:dyDescent="0.25">
      <c r="E3287" s="43">
        <f>COUNTIF($O$7:O3287,FORMULARIO!$AA$2)</f>
        <v>1</v>
      </c>
      <c r="M3287" s="46"/>
      <c r="P3287" s="16"/>
    </row>
    <row r="3288" spans="5:16" hidden="1" x14ac:dyDescent="0.25">
      <c r="E3288" s="43">
        <f>COUNTIF($O$7:O3288,FORMULARIO!$AA$2)</f>
        <v>1</v>
      </c>
      <c r="M3288" s="46"/>
      <c r="P3288" s="16"/>
    </row>
    <row r="3289" spans="5:16" hidden="1" x14ac:dyDescent="0.25">
      <c r="E3289" s="43">
        <f>COUNTIF($O$7:O3289,FORMULARIO!$AA$2)</f>
        <v>1</v>
      </c>
      <c r="M3289" s="46"/>
      <c r="P3289" s="16"/>
    </row>
    <row r="3290" spans="5:16" hidden="1" x14ac:dyDescent="0.25">
      <c r="E3290" s="43">
        <f>COUNTIF($O$7:O3290,FORMULARIO!$AA$2)</f>
        <v>1</v>
      </c>
      <c r="M3290" s="46"/>
      <c r="P3290" s="16"/>
    </row>
    <row r="3291" spans="5:16" hidden="1" x14ac:dyDescent="0.25">
      <c r="E3291" s="43">
        <f>COUNTIF($O$7:O3291,FORMULARIO!$AA$2)</f>
        <v>1</v>
      </c>
      <c r="M3291" s="46"/>
      <c r="P3291" s="16"/>
    </row>
    <row r="3292" spans="5:16" hidden="1" x14ac:dyDescent="0.25">
      <c r="E3292" s="43">
        <f>COUNTIF($O$7:O3292,FORMULARIO!$AA$2)</f>
        <v>1</v>
      </c>
      <c r="M3292" s="46"/>
      <c r="P3292" s="16"/>
    </row>
    <row r="3293" spans="5:16" hidden="1" x14ac:dyDescent="0.25">
      <c r="E3293" s="43">
        <f>COUNTIF($O$7:O3293,FORMULARIO!$AA$2)</f>
        <v>1</v>
      </c>
      <c r="M3293" s="46"/>
      <c r="P3293" s="16"/>
    </row>
    <row r="3294" spans="5:16" hidden="1" x14ac:dyDescent="0.25">
      <c r="E3294" s="43">
        <f>COUNTIF($O$7:O3294,FORMULARIO!$AA$2)</f>
        <v>1</v>
      </c>
      <c r="M3294" s="46"/>
      <c r="P3294" s="16"/>
    </row>
    <row r="3295" spans="5:16" hidden="1" x14ac:dyDescent="0.25">
      <c r="E3295" s="43">
        <f>COUNTIF($O$7:O3295,FORMULARIO!$AA$2)</f>
        <v>1</v>
      </c>
      <c r="M3295" s="46"/>
      <c r="P3295" s="16"/>
    </row>
    <row r="3296" spans="5:16" hidden="1" x14ac:dyDescent="0.25">
      <c r="E3296" s="43">
        <f>COUNTIF($O$7:O3296,FORMULARIO!$AA$2)</f>
        <v>1</v>
      </c>
      <c r="M3296" s="46"/>
      <c r="P3296" s="16"/>
    </row>
    <row r="3297" spans="5:16" hidden="1" x14ac:dyDescent="0.25">
      <c r="E3297" s="43">
        <f>COUNTIF($O$7:O3297,FORMULARIO!$AA$2)</f>
        <v>1</v>
      </c>
      <c r="M3297" s="46"/>
      <c r="P3297" s="16"/>
    </row>
    <row r="3298" spans="5:16" hidden="1" x14ac:dyDescent="0.25">
      <c r="E3298" s="43">
        <f>COUNTIF($O$7:O3298,FORMULARIO!$AA$2)</f>
        <v>1</v>
      </c>
      <c r="M3298" s="46"/>
      <c r="P3298" s="16"/>
    </row>
    <row r="3299" spans="5:16" hidden="1" x14ac:dyDescent="0.25">
      <c r="E3299" s="43">
        <f>COUNTIF($O$7:O3299,FORMULARIO!$AA$2)</f>
        <v>1</v>
      </c>
      <c r="M3299" s="46"/>
      <c r="P3299" s="16"/>
    </row>
    <row r="3300" spans="5:16" hidden="1" x14ac:dyDescent="0.25">
      <c r="E3300" s="43">
        <f>COUNTIF($O$7:O3300,FORMULARIO!$AA$2)</f>
        <v>1</v>
      </c>
      <c r="M3300" s="46"/>
      <c r="P3300" s="16"/>
    </row>
    <row r="3301" spans="5:16" hidden="1" x14ac:dyDescent="0.25">
      <c r="E3301" s="43">
        <f>COUNTIF($O$7:O3301,FORMULARIO!$AA$2)</f>
        <v>1</v>
      </c>
      <c r="M3301" s="46"/>
      <c r="P3301" s="16"/>
    </row>
    <row r="3302" spans="5:16" hidden="1" x14ac:dyDescent="0.25">
      <c r="E3302" s="43">
        <f>COUNTIF($O$7:O3302,FORMULARIO!$AA$2)</f>
        <v>1</v>
      </c>
      <c r="M3302" s="46"/>
      <c r="P3302" s="16"/>
    </row>
    <row r="3303" spans="5:16" hidden="1" x14ac:dyDescent="0.25">
      <c r="E3303" s="43">
        <f>COUNTIF($O$7:O3303,FORMULARIO!$AA$2)</f>
        <v>1</v>
      </c>
      <c r="M3303" s="46"/>
      <c r="P3303" s="16"/>
    </row>
    <row r="3304" spans="5:16" hidden="1" x14ac:dyDescent="0.25">
      <c r="E3304" s="43">
        <f>COUNTIF($O$7:O3304,FORMULARIO!$AA$2)</f>
        <v>1</v>
      </c>
      <c r="M3304" s="46"/>
      <c r="P3304" s="16"/>
    </row>
    <row r="3305" spans="5:16" hidden="1" x14ac:dyDescent="0.25">
      <c r="E3305" s="43">
        <f>COUNTIF($O$7:O3305,FORMULARIO!$AA$2)</f>
        <v>1</v>
      </c>
      <c r="M3305" s="46"/>
      <c r="P3305" s="16"/>
    </row>
    <row r="3306" spans="5:16" hidden="1" x14ac:dyDescent="0.25">
      <c r="E3306" s="43">
        <f>COUNTIF($O$7:O3306,FORMULARIO!$AA$2)</f>
        <v>1</v>
      </c>
      <c r="M3306" s="46"/>
      <c r="P3306" s="16"/>
    </row>
    <row r="3307" spans="5:16" hidden="1" x14ac:dyDescent="0.25">
      <c r="E3307" s="43">
        <f>COUNTIF($O$7:O3307,FORMULARIO!$AA$2)</f>
        <v>1</v>
      </c>
      <c r="M3307" s="46"/>
      <c r="P3307" s="16"/>
    </row>
    <row r="3308" spans="5:16" hidden="1" x14ac:dyDescent="0.25">
      <c r="E3308" s="43">
        <f>COUNTIF($O$7:O3308,FORMULARIO!$AA$2)</f>
        <v>1</v>
      </c>
      <c r="M3308" s="46"/>
      <c r="P3308" s="16"/>
    </row>
    <row r="3309" spans="5:16" hidden="1" x14ac:dyDescent="0.25">
      <c r="E3309" s="43">
        <f>COUNTIF($O$7:O3309,FORMULARIO!$AA$2)</f>
        <v>1</v>
      </c>
      <c r="M3309" s="46"/>
      <c r="P3309" s="16"/>
    </row>
    <row r="3310" spans="5:16" hidden="1" x14ac:dyDescent="0.25">
      <c r="E3310" s="43">
        <f>COUNTIF($O$7:O3310,FORMULARIO!$AA$2)</f>
        <v>1</v>
      </c>
      <c r="M3310" s="46"/>
      <c r="P3310" s="16"/>
    </row>
    <row r="3311" spans="5:16" hidden="1" x14ac:dyDescent="0.25">
      <c r="E3311" s="43">
        <f>COUNTIF($O$7:O3311,FORMULARIO!$AA$2)</f>
        <v>1</v>
      </c>
      <c r="M3311" s="46"/>
      <c r="P3311" s="16"/>
    </row>
    <row r="3312" spans="5:16" hidden="1" x14ac:dyDescent="0.25">
      <c r="E3312" s="43">
        <f>COUNTIF($O$7:O3312,FORMULARIO!$AA$2)</f>
        <v>1</v>
      </c>
      <c r="M3312" s="46"/>
      <c r="P3312" s="16"/>
    </row>
    <row r="3313" spans="5:16" hidden="1" x14ac:dyDescent="0.25">
      <c r="E3313" s="43">
        <f>COUNTIF($O$7:O3313,FORMULARIO!$AA$2)</f>
        <v>1</v>
      </c>
      <c r="M3313" s="46"/>
      <c r="P3313" s="16"/>
    </row>
    <row r="3314" spans="5:16" hidden="1" x14ac:dyDescent="0.25">
      <c r="E3314" s="43">
        <f>COUNTIF($O$7:O3314,FORMULARIO!$AA$2)</f>
        <v>1</v>
      </c>
      <c r="M3314" s="46"/>
      <c r="P3314" s="16"/>
    </row>
    <row r="3315" spans="5:16" hidden="1" x14ac:dyDescent="0.25">
      <c r="E3315" s="43">
        <f>COUNTIF($O$7:O3315,FORMULARIO!$AA$2)</f>
        <v>1</v>
      </c>
      <c r="M3315" s="46"/>
      <c r="P3315" s="16"/>
    </row>
    <row r="3316" spans="5:16" hidden="1" x14ac:dyDescent="0.25">
      <c r="E3316" s="43">
        <f>COUNTIF($O$7:O3316,FORMULARIO!$AA$2)</f>
        <v>1</v>
      </c>
      <c r="M3316" s="46"/>
      <c r="P3316" s="16"/>
    </row>
    <row r="3317" spans="5:16" hidden="1" x14ac:dyDescent="0.25">
      <c r="E3317" s="43">
        <f>COUNTIF($O$7:O3317,FORMULARIO!$AA$2)</f>
        <v>1</v>
      </c>
      <c r="M3317" s="46"/>
      <c r="P3317" s="16"/>
    </row>
    <row r="3318" spans="5:16" hidden="1" x14ac:dyDescent="0.25">
      <c r="E3318" s="43">
        <f>COUNTIF($O$7:O3318,FORMULARIO!$AA$2)</f>
        <v>1</v>
      </c>
      <c r="M3318" s="46"/>
      <c r="P3318" s="16"/>
    </row>
    <row r="3319" spans="5:16" hidden="1" x14ac:dyDescent="0.25">
      <c r="E3319" s="43">
        <f>COUNTIF($O$7:O3319,FORMULARIO!$AA$2)</f>
        <v>1</v>
      </c>
      <c r="M3319" s="46"/>
      <c r="P3319" s="16"/>
    </row>
    <row r="3320" spans="5:16" hidden="1" x14ac:dyDescent="0.25">
      <c r="E3320" s="43">
        <f>COUNTIF($O$7:O3320,FORMULARIO!$AA$2)</f>
        <v>1</v>
      </c>
      <c r="M3320" s="46"/>
      <c r="P3320" s="16"/>
    </row>
    <row r="3321" spans="5:16" hidden="1" x14ac:dyDescent="0.25">
      <c r="E3321" s="43">
        <f>COUNTIF($O$7:O3321,FORMULARIO!$AA$2)</f>
        <v>1</v>
      </c>
      <c r="M3321" s="46"/>
      <c r="P3321" s="16"/>
    </row>
    <row r="3322" spans="5:16" hidden="1" x14ac:dyDescent="0.25">
      <c r="E3322" s="43">
        <f>COUNTIF($O$7:O3322,FORMULARIO!$AA$2)</f>
        <v>1</v>
      </c>
      <c r="M3322" s="46"/>
      <c r="P3322" s="16"/>
    </row>
    <row r="3323" spans="5:16" hidden="1" x14ac:dyDescent="0.25">
      <c r="E3323" s="43">
        <f>COUNTIF($O$7:O3323,FORMULARIO!$AA$2)</f>
        <v>1</v>
      </c>
      <c r="M3323" s="46"/>
      <c r="P3323" s="16"/>
    </row>
    <row r="3324" spans="5:16" hidden="1" x14ac:dyDescent="0.25">
      <c r="E3324" s="43">
        <f>COUNTIF($O$7:O3324,FORMULARIO!$AA$2)</f>
        <v>1</v>
      </c>
      <c r="M3324" s="46"/>
      <c r="P3324" s="16"/>
    </row>
    <row r="3325" spans="5:16" hidden="1" x14ac:dyDescent="0.25">
      <c r="E3325" s="43">
        <f>COUNTIF($O$7:O3325,FORMULARIO!$AA$2)</f>
        <v>1</v>
      </c>
      <c r="M3325" s="46"/>
      <c r="P3325" s="16"/>
    </row>
    <row r="3326" spans="5:16" hidden="1" x14ac:dyDescent="0.25">
      <c r="E3326" s="43">
        <f>COUNTIF($O$7:O3326,FORMULARIO!$AA$2)</f>
        <v>1</v>
      </c>
      <c r="M3326" s="46"/>
      <c r="P3326" s="16"/>
    </row>
    <row r="3327" spans="5:16" hidden="1" x14ac:dyDescent="0.25">
      <c r="E3327" s="43">
        <f>COUNTIF($O$7:O3327,FORMULARIO!$AA$2)</f>
        <v>1</v>
      </c>
      <c r="M3327" s="46"/>
      <c r="P3327" s="16"/>
    </row>
    <row r="3328" spans="5:16" hidden="1" x14ac:dyDescent="0.25">
      <c r="E3328" s="43">
        <f>COUNTIF($O$7:O3328,FORMULARIO!$AA$2)</f>
        <v>1</v>
      </c>
      <c r="M3328" s="46"/>
      <c r="P3328" s="16"/>
    </row>
    <row r="3329" spans="5:16" hidden="1" x14ac:dyDescent="0.25">
      <c r="E3329" s="43">
        <f>COUNTIF($O$7:O3329,FORMULARIO!$AA$2)</f>
        <v>1</v>
      </c>
      <c r="M3329" s="46"/>
      <c r="P3329" s="16"/>
    </row>
    <row r="3330" spans="5:16" hidden="1" x14ac:dyDescent="0.25">
      <c r="E3330" s="43">
        <f>COUNTIF($O$7:O3330,FORMULARIO!$AA$2)</f>
        <v>1</v>
      </c>
      <c r="M3330" s="46"/>
      <c r="P3330" s="16"/>
    </row>
    <row r="3331" spans="5:16" hidden="1" x14ac:dyDescent="0.25">
      <c r="E3331" s="43">
        <f>COUNTIF($O$7:O3331,FORMULARIO!$AA$2)</f>
        <v>1</v>
      </c>
      <c r="M3331" s="46"/>
      <c r="P3331" s="16"/>
    </row>
    <row r="3332" spans="5:16" hidden="1" x14ac:dyDescent="0.25">
      <c r="E3332" s="43">
        <f>COUNTIF($O$7:O3332,FORMULARIO!$AA$2)</f>
        <v>1</v>
      </c>
      <c r="M3332" s="46"/>
      <c r="P3332" s="16"/>
    </row>
    <row r="3333" spans="5:16" hidden="1" x14ac:dyDescent="0.25">
      <c r="E3333" s="43">
        <f>COUNTIF($O$7:O3333,FORMULARIO!$AA$2)</f>
        <v>1</v>
      </c>
      <c r="M3333" s="46"/>
      <c r="P3333" s="16"/>
    </row>
    <row r="3334" spans="5:16" hidden="1" x14ac:dyDescent="0.25">
      <c r="E3334" s="43">
        <f>COUNTIF($O$7:O3334,FORMULARIO!$AA$2)</f>
        <v>1</v>
      </c>
      <c r="M3334" s="46"/>
      <c r="P3334" s="16"/>
    </row>
    <row r="3335" spans="5:16" hidden="1" x14ac:dyDescent="0.25">
      <c r="E3335" s="43">
        <f>COUNTIF($O$7:O3335,FORMULARIO!$AA$2)</f>
        <v>1</v>
      </c>
      <c r="M3335" s="46"/>
      <c r="P3335" s="16"/>
    </row>
    <row r="3336" spans="5:16" hidden="1" x14ac:dyDescent="0.25">
      <c r="E3336" s="43">
        <f>COUNTIF($O$7:O3336,FORMULARIO!$AA$2)</f>
        <v>1</v>
      </c>
      <c r="M3336" s="46"/>
      <c r="P3336" s="16"/>
    </row>
    <row r="3337" spans="5:16" hidden="1" x14ac:dyDescent="0.25">
      <c r="E3337" s="43">
        <f>COUNTIF($O$7:O3337,FORMULARIO!$AA$2)</f>
        <v>1</v>
      </c>
      <c r="M3337" s="46"/>
      <c r="P3337" s="16"/>
    </row>
    <row r="3338" spans="5:16" hidden="1" x14ac:dyDescent="0.25">
      <c r="E3338" s="43">
        <f>COUNTIF($O$7:O3338,FORMULARIO!$AA$2)</f>
        <v>1</v>
      </c>
      <c r="M3338" s="46"/>
      <c r="P3338" s="16"/>
    </row>
    <row r="3339" spans="5:16" hidden="1" x14ac:dyDescent="0.25">
      <c r="E3339" s="43">
        <f>COUNTIF($O$7:O3339,FORMULARIO!$AA$2)</f>
        <v>1</v>
      </c>
      <c r="M3339" s="46"/>
      <c r="P3339" s="16"/>
    </row>
    <row r="3340" spans="5:16" hidden="1" x14ac:dyDescent="0.25">
      <c r="E3340" s="43">
        <f>COUNTIF($O$7:O3340,FORMULARIO!$AA$2)</f>
        <v>1</v>
      </c>
      <c r="M3340" s="46"/>
      <c r="P3340" s="16"/>
    </row>
    <row r="3341" spans="5:16" hidden="1" x14ac:dyDescent="0.25">
      <c r="E3341" s="43">
        <f>COUNTIF($O$7:O3341,FORMULARIO!$AA$2)</f>
        <v>1</v>
      </c>
      <c r="M3341" s="46"/>
      <c r="P3341" s="16"/>
    </row>
    <row r="3342" spans="5:16" hidden="1" x14ac:dyDescent="0.25">
      <c r="E3342" s="43">
        <f>COUNTIF($O$7:O3342,FORMULARIO!$AA$2)</f>
        <v>1</v>
      </c>
      <c r="M3342" s="46"/>
      <c r="P3342" s="16"/>
    </row>
    <row r="3343" spans="5:16" hidden="1" x14ac:dyDescent="0.25">
      <c r="E3343" s="43">
        <f>COUNTIF($O$7:O3343,FORMULARIO!$AA$2)</f>
        <v>1</v>
      </c>
      <c r="M3343" s="46"/>
      <c r="P3343" s="16"/>
    </row>
    <row r="3344" spans="5:16" hidden="1" x14ac:dyDescent="0.25">
      <c r="E3344" s="43">
        <f>COUNTIF($O$7:O3344,FORMULARIO!$AA$2)</f>
        <v>1</v>
      </c>
      <c r="M3344" s="46"/>
      <c r="P3344" s="16"/>
    </row>
    <row r="3345" spans="5:16" hidden="1" x14ac:dyDescent="0.25">
      <c r="E3345" s="43">
        <f>COUNTIF($O$7:O3345,FORMULARIO!$AA$2)</f>
        <v>1</v>
      </c>
      <c r="M3345" s="46"/>
      <c r="P3345" s="16"/>
    </row>
    <row r="3346" spans="5:16" hidden="1" x14ac:dyDescent="0.25">
      <c r="E3346" s="43">
        <f>COUNTIF($O$7:O3346,FORMULARIO!$AA$2)</f>
        <v>1</v>
      </c>
      <c r="M3346" s="46"/>
      <c r="P3346" s="16"/>
    </row>
    <row r="3347" spans="5:16" hidden="1" x14ac:dyDescent="0.25">
      <c r="E3347" s="43">
        <f>COUNTIF($O$7:O3347,FORMULARIO!$AA$2)</f>
        <v>1</v>
      </c>
      <c r="M3347" s="46"/>
      <c r="P3347" s="16"/>
    </row>
    <row r="3348" spans="5:16" hidden="1" x14ac:dyDescent="0.25">
      <c r="E3348" s="43">
        <f>COUNTIF($O$7:O3348,FORMULARIO!$AA$2)</f>
        <v>1</v>
      </c>
      <c r="M3348" s="46"/>
      <c r="P3348" s="16"/>
    </row>
    <row r="3349" spans="5:16" hidden="1" x14ac:dyDescent="0.25">
      <c r="E3349" s="43">
        <f>COUNTIF($O$7:O3349,FORMULARIO!$AA$2)</f>
        <v>1</v>
      </c>
      <c r="M3349" s="46"/>
      <c r="P3349" s="16"/>
    </row>
    <row r="3350" spans="5:16" hidden="1" x14ac:dyDescent="0.25">
      <c r="E3350" s="43">
        <f>COUNTIF($O$7:O3350,FORMULARIO!$AA$2)</f>
        <v>1</v>
      </c>
      <c r="M3350" s="46"/>
      <c r="P3350" s="16"/>
    </row>
    <row r="3351" spans="5:16" hidden="1" x14ac:dyDescent="0.25">
      <c r="E3351" s="43">
        <f>COUNTIF($O$7:O3351,FORMULARIO!$AA$2)</f>
        <v>1</v>
      </c>
      <c r="M3351" s="46"/>
      <c r="P3351" s="16"/>
    </row>
    <row r="3352" spans="5:16" hidden="1" x14ac:dyDescent="0.25">
      <c r="E3352" s="43">
        <f>COUNTIF($O$7:O3352,FORMULARIO!$AA$2)</f>
        <v>1</v>
      </c>
      <c r="M3352" s="46"/>
      <c r="P3352" s="16"/>
    </row>
    <row r="3353" spans="5:16" hidden="1" x14ac:dyDescent="0.25">
      <c r="E3353" s="43">
        <f>COUNTIF($O$7:O3353,FORMULARIO!$AA$2)</f>
        <v>1</v>
      </c>
      <c r="M3353" s="46"/>
      <c r="P3353" s="16"/>
    </row>
    <row r="3354" spans="5:16" hidden="1" x14ac:dyDescent="0.25">
      <c r="E3354" s="43">
        <f>COUNTIF($O$7:O3354,FORMULARIO!$AA$2)</f>
        <v>1</v>
      </c>
      <c r="M3354" s="46"/>
      <c r="P3354" s="16"/>
    </row>
    <row r="3355" spans="5:16" hidden="1" x14ac:dyDescent="0.25">
      <c r="E3355" s="43">
        <f>COUNTIF($O$7:O3355,FORMULARIO!$AA$2)</f>
        <v>1</v>
      </c>
      <c r="M3355" s="46"/>
      <c r="P3355" s="16"/>
    </row>
    <row r="3356" spans="5:16" hidden="1" x14ac:dyDescent="0.25">
      <c r="E3356" s="43">
        <f>COUNTIF($O$7:O3356,FORMULARIO!$AA$2)</f>
        <v>1</v>
      </c>
      <c r="M3356" s="46"/>
      <c r="P3356" s="16"/>
    </row>
    <row r="3357" spans="5:16" hidden="1" x14ac:dyDescent="0.25">
      <c r="E3357" s="43">
        <f>COUNTIF($O$7:O3357,FORMULARIO!$AA$2)</f>
        <v>1</v>
      </c>
      <c r="M3357" s="46"/>
      <c r="P3357" s="16"/>
    </row>
    <row r="3358" spans="5:16" hidden="1" x14ac:dyDescent="0.25">
      <c r="E3358" s="43">
        <f>COUNTIF($O$7:O3358,FORMULARIO!$AA$2)</f>
        <v>1</v>
      </c>
      <c r="M3358" s="46"/>
      <c r="P3358" s="16"/>
    </row>
    <row r="3359" spans="5:16" hidden="1" x14ac:dyDescent="0.25">
      <c r="E3359" s="43">
        <f>COUNTIF($O$7:O3359,FORMULARIO!$AA$2)</f>
        <v>1</v>
      </c>
      <c r="M3359" s="46"/>
      <c r="P3359" s="16"/>
    </row>
    <row r="3360" spans="5:16" hidden="1" x14ac:dyDescent="0.25">
      <c r="E3360" s="43">
        <f>COUNTIF($O$7:O3360,FORMULARIO!$AA$2)</f>
        <v>1</v>
      </c>
      <c r="M3360" s="46"/>
      <c r="P3360" s="16"/>
    </row>
    <row r="3361" spans="5:16" hidden="1" x14ac:dyDescent="0.25">
      <c r="E3361" s="43">
        <f>COUNTIF($O$7:O3361,FORMULARIO!$AA$2)</f>
        <v>1</v>
      </c>
      <c r="M3361" s="46"/>
      <c r="P3361" s="16"/>
    </row>
    <row r="3362" spans="5:16" hidden="1" x14ac:dyDescent="0.25">
      <c r="E3362" s="43">
        <f>COUNTIF($O$7:O3362,FORMULARIO!$AA$2)</f>
        <v>1</v>
      </c>
      <c r="M3362" s="46"/>
      <c r="P3362" s="16"/>
    </row>
    <row r="3363" spans="5:16" hidden="1" x14ac:dyDescent="0.25">
      <c r="E3363" s="43">
        <f>COUNTIF($O$7:O3363,FORMULARIO!$AA$2)</f>
        <v>1</v>
      </c>
      <c r="M3363" s="46"/>
      <c r="P3363" s="16"/>
    </row>
    <row r="3364" spans="5:16" hidden="1" x14ac:dyDescent="0.25">
      <c r="E3364" s="43">
        <f>COUNTIF($O$7:O3364,FORMULARIO!$AA$2)</f>
        <v>1</v>
      </c>
      <c r="M3364" s="46"/>
      <c r="P3364" s="16"/>
    </row>
    <row r="3365" spans="5:16" hidden="1" x14ac:dyDescent="0.25">
      <c r="E3365" s="43">
        <f>COUNTIF($O$7:O3365,FORMULARIO!$AA$2)</f>
        <v>1</v>
      </c>
      <c r="M3365" s="46"/>
      <c r="P3365" s="16"/>
    </row>
    <row r="3366" spans="5:16" hidden="1" x14ac:dyDescent="0.25">
      <c r="E3366" s="43">
        <f>COUNTIF($O$7:O3366,FORMULARIO!$AA$2)</f>
        <v>1</v>
      </c>
      <c r="M3366" s="46"/>
      <c r="P3366" s="16"/>
    </row>
    <row r="3367" spans="5:16" hidden="1" x14ac:dyDescent="0.25">
      <c r="E3367" s="43">
        <f>COUNTIF($O$7:O3367,FORMULARIO!$AA$2)</f>
        <v>1</v>
      </c>
      <c r="M3367" s="46"/>
      <c r="P3367" s="16"/>
    </row>
    <row r="3368" spans="5:16" hidden="1" x14ac:dyDescent="0.25">
      <c r="E3368" s="43">
        <f>COUNTIF($O$7:O3368,FORMULARIO!$AA$2)</f>
        <v>1</v>
      </c>
      <c r="M3368" s="46"/>
      <c r="P3368" s="16"/>
    </row>
    <row r="3369" spans="5:16" hidden="1" x14ac:dyDescent="0.25">
      <c r="E3369" s="43">
        <f>COUNTIF($O$7:O3369,FORMULARIO!$AA$2)</f>
        <v>1</v>
      </c>
      <c r="M3369" s="46"/>
      <c r="P3369" s="16"/>
    </row>
    <row r="3370" spans="5:16" hidden="1" x14ac:dyDescent="0.25">
      <c r="E3370" s="43">
        <f>COUNTIF($O$7:O3370,FORMULARIO!$AA$2)</f>
        <v>1</v>
      </c>
      <c r="M3370" s="46"/>
      <c r="P3370" s="16"/>
    </row>
    <row r="3371" spans="5:16" hidden="1" x14ac:dyDescent="0.25">
      <c r="E3371" s="43">
        <f>COUNTIF($O$7:O3371,FORMULARIO!$AA$2)</f>
        <v>1</v>
      </c>
      <c r="M3371" s="46"/>
      <c r="P3371" s="16"/>
    </row>
    <row r="3372" spans="5:16" hidden="1" x14ac:dyDescent="0.25">
      <c r="E3372" s="43">
        <f>COUNTIF($O$7:O3372,FORMULARIO!$AA$2)</f>
        <v>1</v>
      </c>
      <c r="M3372" s="46"/>
      <c r="P3372" s="16"/>
    </row>
    <row r="3373" spans="5:16" hidden="1" x14ac:dyDescent="0.25">
      <c r="E3373" s="43">
        <f>COUNTIF($O$7:O3373,FORMULARIO!$AA$2)</f>
        <v>1</v>
      </c>
      <c r="M3373" s="46"/>
      <c r="P3373" s="16"/>
    </row>
    <row r="3374" spans="5:16" hidden="1" x14ac:dyDescent="0.25">
      <c r="E3374" s="43">
        <f>COUNTIF($O$7:O3374,FORMULARIO!$AA$2)</f>
        <v>1</v>
      </c>
      <c r="M3374" s="46"/>
      <c r="P3374" s="16"/>
    </row>
    <row r="3375" spans="5:16" hidden="1" x14ac:dyDescent="0.25">
      <c r="E3375" s="43">
        <f>COUNTIF($O$7:O3375,FORMULARIO!$AA$2)</f>
        <v>1</v>
      </c>
      <c r="M3375" s="46"/>
      <c r="P3375" s="16"/>
    </row>
    <row r="3376" spans="5:16" hidden="1" x14ac:dyDescent="0.25">
      <c r="E3376" s="43">
        <f>COUNTIF($O$7:O3376,FORMULARIO!$AA$2)</f>
        <v>1</v>
      </c>
      <c r="M3376" s="46"/>
      <c r="P3376" s="16"/>
    </row>
    <row r="3377" spans="5:16" hidden="1" x14ac:dyDescent="0.25">
      <c r="E3377" s="43">
        <f>COUNTIF($O$7:O3377,FORMULARIO!$AA$2)</f>
        <v>1</v>
      </c>
      <c r="M3377" s="46"/>
      <c r="P3377" s="16"/>
    </row>
    <row r="3378" spans="5:16" hidden="1" x14ac:dyDescent="0.25">
      <c r="E3378" s="43">
        <f>COUNTIF($O$7:O3378,FORMULARIO!$AA$2)</f>
        <v>1</v>
      </c>
      <c r="M3378" s="46"/>
      <c r="P3378" s="16"/>
    </row>
    <row r="3379" spans="5:16" hidden="1" x14ac:dyDescent="0.25">
      <c r="E3379" s="43">
        <f>COUNTIF($O$7:O3379,FORMULARIO!$AA$2)</f>
        <v>1</v>
      </c>
      <c r="M3379" s="46"/>
      <c r="P3379" s="16"/>
    </row>
    <row r="3380" spans="5:16" hidden="1" x14ac:dyDescent="0.25">
      <c r="E3380" s="43">
        <f>COUNTIF($O$7:O3380,FORMULARIO!$AA$2)</f>
        <v>1</v>
      </c>
      <c r="M3380" s="46"/>
      <c r="P3380" s="16"/>
    </row>
    <row r="3381" spans="5:16" hidden="1" x14ac:dyDescent="0.25">
      <c r="E3381" s="43">
        <f>COUNTIF($O$7:O3381,FORMULARIO!$AA$2)</f>
        <v>1</v>
      </c>
      <c r="M3381" s="46"/>
      <c r="P3381" s="16"/>
    </row>
    <row r="3382" spans="5:16" hidden="1" x14ac:dyDescent="0.25">
      <c r="E3382" s="43">
        <f>COUNTIF($O$7:O3382,FORMULARIO!$AA$2)</f>
        <v>1</v>
      </c>
      <c r="M3382" s="46"/>
      <c r="P3382" s="16"/>
    </row>
    <row r="3383" spans="5:16" hidden="1" x14ac:dyDescent="0.25">
      <c r="E3383" s="43">
        <f>COUNTIF($O$7:O3383,FORMULARIO!$AA$2)</f>
        <v>1</v>
      </c>
      <c r="M3383" s="46"/>
      <c r="P3383" s="16"/>
    </row>
    <row r="3384" spans="5:16" hidden="1" x14ac:dyDescent="0.25">
      <c r="E3384" s="43">
        <f>COUNTIF($O$7:O3384,FORMULARIO!$AA$2)</f>
        <v>1</v>
      </c>
      <c r="M3384" s="46"/>
      <c r="P3384" s="16"/>
    </row>
    <row r="3385" spans="5:16" hidden="1" x14ac:dyDescent="0.25">
      <c r="E3385" s="43">
        <f>COUNTIF($O$7:O3385,FORMULARIO!$AA$2)</f>
        <v>1</v>
      </c>
      <c r="M3385" s="46"/>
      <c r="P3385" s="16"/>
    </row>
    <row r="3386" spans="5:16" hidden="1" x14ac:dyDescent="0.25">
      <c r="E3386" s="43">
        <f>COUNTIF($O$7:O3386,FORMULARIO!$AA$2)</f>
        <v>1</v>
      </c>
      <c r="M3386" s="46"/>
      <c r="P3386" s="16"/>
    </row>
    <row r="3387" spans="5:16" hidden="1" x14ac:dyDescent="0.25">
      <c r="E3387" s="43">
        <f>COUNTIF($O$7:O3387,FORMULARIO!$AA$2)</f>
        <v>1</v>
      </c>
      <c r="M3387" s="46"/>
      <c r="P3387" s="16"/>
    </row>
    <row r="3388" spans="5:16" hidden="1" x14ac:dyDescent="0.25">
      <c r="E3388" s="43">
        <f>COUNTIF($O$7:O3388,FORMULARIO!$AA$2)</f>
        <v>1</v>
      </c>
      <c r="M3388" s="46"/>
      <c r="P3388" s="16"/>
    </row>
    <row r="3389" spans="5:16" hidden="1" x14ac:dyDescent="0.25">
      <c r="E3389" s="43">
        <f>COUNTIF($O$7:O3389,FORMULARIO!$AA$2)</f>
        <v>1</v>
      </c>
      <c r="M3389" s="46"/>
      <c r="P3389" s="16"/>
    </row>
    <row r="3390" spans="5:16" hidden="1" x14ac:dyDescent="0.25">
      <c r="E3390" s="43">
        <f>COUNTIF($O$7:O3390,FORMULARIO!$AA$2)</f>
        <v>1</v>
      </c>
      <c r="M3390" s="46"/>
      <c r="P3390" s="16"/>
    </row>
    <row r="3391" spans="5:16" hidden="1" x14ac:dyDescent="0.25">
      <c r="E3391" s="43">
        <f>COUNTIF($O$7:O3391,FORMULARIO!$AA$2)</f>
        <v>1</v>
      </c>
      <c r="M3391" s="46"/>
      <c r="P3391" s="16"/>
    </row>
    <row r="3392" spans="5:16" hidden="1" x14ac:dyDescent="0.25">
      <c r="E3392" s="43">
        <f>COUNTIF($O$7:O3392,FORMULARIO!$AA$2)</f>
        <v>1</v>
      </c>
      <c r="M3392" s="46"/>
      <c r="P3392" s="16"/>
    </row>
    <row r="3393" spans="5:16" hidden="1" x14ac:dyDescent="0.25">
      <c r="E3393" s="43">
        <f>COUNTIF($O$7:O3393,FORMULARIO!$AA$2)</f>
        <v>1</v>
      </c>
      <c r="M3393" s="46"/>
      <c r="P3393" s="16"/>
    </row>
    <row r="3394" spans="5:16" hidden="1" x14ac:dyDescent="0.25">
      <c r="E3394" s="43">
        <f>COUNTIF($O$7:O3394,FORMULARIO!$AA$2)</f>
        <v>1</v>
      </c>
      <c r="M3394" s="46"/>
      <c r="P3394" s="16"/>
    </row>
    <row r="3395" spans="5:16" hidden="1" x14ac:dyDescent="0.25">
      <c r="E3395" s="43">
        <f>COUNTIF($O$7:O3395,FORMULARIO!$AA$2)</f>
        <v>1</v>
      </c>
      <c r="M3395" s="46"/>
      <c r="P3395" s="16"/>
    </row>
    <row r="3396" spans="5:16" hidden="1" x14ac:dyDescent="0.25">
      <c r="E3396" s="43">
        <f>COUNTIF($O$7:O3396,FORMULARIO!$AA$2)</f>
        <v>1</v>
      </c>
      <c r="M3396" s="46"/>
      <c r="P3396" s="16"/>
    </row>
    <row r="3397" spans="5:16" hidden="1" x14ac:dyDescent="0.25">
      <c r="E3397" s="43">
        <f>COUNTIF($O$7:O3397,FORMULARIO!$AA$2)</f>
        <v>1</v>
      </c>
      <c r="M3397" s="46"/>
      <c r="P3397" s="16"/>
    </row>
    <row r="3398" spans="5:16" hidden="1" x14ac:dyDescent="0.25">
      <c r="E3398" s="43">
        <f>COUNTIF($O$7:O3398,FORMULARIO!$AA$2)</f>
        <v>1</v>
      </c>
      <c r="M3398" s="46"/>
      <c r="P3398" s="16"/>
    </row>
    <row r="3399" spans="5:16" hidden="1" x14ac:dyDescent="0.25">
      <c r="E3399" s="43">
        <f>COUNTIF($O$7:O3399,FORMULARIO!$AA$2)</f>
        <v>1</v>
      </c>
      <c r="M3399" s="46"/>
      <c r="P3399" s="16"/>
    </row>
    <row r="3400" spans="5:16" hidden="1" x14ac:dyDescent="0.25">
      <c r="E3400" s="43">
        <f>COUNTIF($O$7:O3400,FORMULARIO!$AA$2)</f>
        <v>1</v>
      </c>
      <c r="M3400" s="46"/>
      <c r="P3400" s="16"/>
    </row>
    <row r="3401" spans="5:16" hidden="1" x14ac:dyDescent="0.25">
      <c r="E3401" s="43">
        <f>COUNTIF($O$7:O3401,FORMULARIO!$AA$2)</f>
        <v>1</v>
      </c>
      <c r="M3401" s="46"/>
      <c r="P3401" s="16"/>
    </row>
    <row r="3402" spans="5:16" hidden="1" x14ac:dyDescent="0.25">
      <c r="E3402" s="43">
        <f>COUNTIF($O$7:O3402,FORMULARIO!$AA$2)</f>
        <v>1</v>
      </c>
      <c r="M3402" s="46"/>
      <c r="P3402" s="16"/>
    </row>
    <row r="3403" spans="5:16" hidden="1" x14ac:dyDescent="0.25">
      <c r="E3403" s="43">
        <f>COUNTIF($O$7:O3403,FORMULARIO!$AA$2)</f>
        <v>1</v>
      </c>
      <c r="M3403" s="46"/>
      <c r="P3403" s="16"/>
    </row>
    <row r="3404" spans="5:16" hidden="1" x14ac:dyDescent="0.25">
      <c r="E3404" s="43">
        <f>COUNTIF($O$7:O3404,FORMULARIO!$AA$2)</f>
        <v>1</v>
      </c>
      <c r="M3404" s="46"/>
      <c r="P3404" s="16"/>
    </row>
    <row r="3405" spans="5:16" hidden="1" x14ac:dyDescent="0.25">
      <c r="E3405" s="43">
        <f>COUNTIF($O$7:O3405,FORMULARIO!$AA$2)</f>
        <v>1</v>
      </c>
      <c r="M3405" s="46"/>
      <c r="P3405" s="16"/>
    </row>
    <row r="3406" spans="5:16" hidden="1" x14ac:dyDescent="0.25">
      <c r="E3406" s="43">
        <f>COUNTIF($O$7:O3406,FORMULARIO!$AA$2)</f>
        <v>1</v>
      </c>
      <c r="M3406" s="46"/>
      <c r="P3406" s="16"/>
    </row>
    <row r="3407" spans="5:16" hidden="1" x14ac:dyDescent="0.25">
      <c r="E3407" s="43">
        <f>COUNTIF($O$7:O3407,FORMULARIO!$AA$2)</f>
        <v>1</v>
      </c>
      <c r="M3407" s="46"/>
      <c r="P3407" s="16"/>
    </row>
    <row r="3408" spans="5:16" hidden="1" x14ac:dyDescent="0.25">
      <c r="E3408" s="43">
        <f>COUNTIF($O$7:O3408,FORMULARIO!$AA$2)</f>
        <v>1</v>
      </c>
      <c r="M3408" s="46"/>
      <c r="P3408" s="16"/>
    </row>
    <row r="3409" spans="5:16" hidden="1" x14ac:dyDescent="0.25">
      <c r="E3409" s="43">
        <f>COUNTIF($O$7:O3409,FORMULARIO!$AA$2)</f>
        <v>1</v>
      </c>
      <c r="M3409" s="46"/>
      <c r="P3409" s="16"/>
    </row>
    <row r="3410" spans="5:16" hidden="1" x14ac:dyDescent="0.25">
      <c r="E3410" s="43">
        <f>COUNTIF($O$7:O3410,FORMULARIO!$AA$2)</f>
        <v>1</v>
      </c>
      <c r="M3410" s="46"/>
      <c r="P3410" s="16"/>
    </row>
    <row r="3411" spans="5:16" hidden="1" x14ac:dyDescent="0.25">
      <c r="E3411" s="43">
        <f>COUNTIF($O$7:O3411,FORMULARIO!$AA$2)</f>
        <v>1</v>
      </c>
      <c r="M3411" s="46"/>
      <c r="P3411" s="16"/>
    </row>
    <row r="3412" spans="5:16" hidden="1" x14ac:dyDescent="0.25">
      <c r="E3412" s="43">
        <f>COUNTIF($O$7:O3412,FORMULARIO!$AA$2)</f>
        <v>1</v>
      </c>
      <c r="M3412" s="46"/>
      <c r="P3412" s="16"/>
    </row>
    <row r="3413" spans="5:16" hidden="1" x14ac:dyDescent="0.25">
      <c r="E3413" s="43">
        <f>COUNTIF($O$7:O3413,FORMULARIO!$AA$2)</f>
        <v>1</v>
      </c>
      <c r="M3413" s="46"/>
      <c r="P3413" s="16"/>
    </row>
    <row r="3414" spans="5:16" hidden="1" x14ac:dyDescent="0.25">
      <c r="E3414" s="43">
        <f>COUNTIF($O$7:O3414,FORMULARIO!$AA$2)</f>
        <v>1</v>
      </c>
      <c r="M3414" s="46"/>
      <c r="P3414" s="16"/>
    </row>
    <row r="3415" spans="5:16" hidden="1" x14ac:dyDescent="0.25">
      <c r="E3415" s="43">
        <f>COUNTIF($O$7:O3415,FORMULARIO!$AA$2)</f>
        <v>1</v>
      </c>
      <c r="M3415" s="46"/>
      <c r="P3415" s="16"/>
    </row>
    <row r="3416" spans="5:16" hidden="1" x14ac:dyDescent="0.25">
      <c r="E3416" s="43">
        <f>COUNTIF($O$7:O3416,FORMULARIO!$AA$2)</f>
        <v>1</v>
      </c>
      <c r="M3416" s="46"/>
      <c r="P3416" s="16"/>
    </row>
    <row r="3417" spans="5:16" hidden="1" x14ac:dyDescent="0.25">
      <c r="E3417" s="43">
        <f>COUNTIF($O$7:O3417,FORMULARIO!$AA$2)</f>
        <v>1</v>
      </c>
      <c r="M3417" s="46"/>
      <c r="P3417" s="16"/>
    </row>
    <row r="3418" spans="5:16" hidden="1" x14ac:dyDescent="0.25">
      <c r="E3418" s="43">
        <f>COUNTIF($O$7:O3418,FORMULARIO!$AA$2)</f>
        <v>1</v>
      </c>
      <c r="M3418" s="46"/>
      <c r="P3418" s="16"/>
    </row>
    <row r="3419" spans="5:16" hidden="1" x14ac:dyDescent="0.25">
      <c r="E3419" s="43">
        <f>COUNTIF($O$7:O3419,FORMULARIO!$AA$2)</f>
        <v>1</v>
      </c>
      <c r="M3419" s="46"/>
      <c r="P3419" s="16"/>
    </row>
    <row r="3420" spans="5:16" hidden="1" x14ac:dyDescent="0.25">
      <c r="E3420" s="43">
        <f>COUNTIF($O$7:O3420,FORMULARIO!$AA$2)</f>
        <v>1</v>
      </c>
      <c r="M3420" s="46"/>
      <c r="P3420" s="16"/>
    </row>
    <row r="3421" spans="5:16" hidden="1" x14ac:dyDescent="0.25">
      <c r="E3421" s="43">
        <f>COUNTIF($O$7:O3421,FORMULARIO!$AA$2)</f>
        <v>1</v>
      </c>
      <c r="M3421" s="46"/>
      <c r="P3421" s="16"/>
    </row>
    <row r="3422" spans="5:16" hidden="1" x14ac:dyDescent="0.25">
      <c r="E3422" s="43">
        <f>COUNTIF($O$7:O3422,FORMULARIO!$AA$2)</f>
        <v>1</v>
      </c>
      <c r="M3422" s="46"/>
      <c r="P3422" s="16"/>
    </row>
    <row r="3423" spans="5:16" hidden="1" x14ac:dyDescent="0.25">
      <c r="E3423" s="43">
        <f>COUNTIF($O$7:O3423,FORMULARIO!$AA$2)</f>
        <v>1</v>
      </c>
      <c r="M3423" s="46"/>
      <c r="P3423" s="16"/>
    </row>
    <row r="3424" spans="5:16" hidden="1" x14ac:dyDescent="0.25">
      <c r="E3424" s="43">
        <f>COUNTIF($O$7:O3424,FORMULARIO!$AA$2)</f>
        <v>1</v>
      </c>
      <c r="M3424" s="46"/>
      <c r="P3424" s="16"/>
    </row>
    <row r="3425" spans="5:16" hidden="1" x14ac:dyDescent="0.25">
      <c r="E3425" s="43">
        <f>COUNTIF($O$7:O3425,FORMULARIO!$AA$2)</f>
        <v>1</v>
      </c>
      <c r="M3425" s="46"/>
      <c r="P3425" s="16"/>
    </row>
    <row r="3426" spans="5:16" hidden="1" x14ac:dyDescent="0.25">
      <c r="E3426" s="43">
        <f>COUNTIF($O$7:O3426,FORMULARIO!$AA$2)</f>
        <v>1</v>
      </c>
      <c r="M3426" s="46"/>
      <c r="P3426" s="16"/>
    </row>
    <row r="3427" spans="5:16" hidden="1" x14ac:dyDescent="0.25">
      <c r="E3427" s="43">
        <f>COUNTIF($O$7:O3427,FORMULARIO!$AA$2)</f>
        <v>1</v>
      </c>
      <c r="M3427" s="46"/>
      <c r="P3427" s="16"/>
    </row>
    <row r="3428" spans="5:16" hidden="1" x14ac:dyDescent="0.25">
      <c r="E3428" s="43">
        <f>COUNTIF($O$7:O3428,FORMULARIO!$AA$2)</f>
        <v>1</v>
      </c>
      <c r="M3428" s="46"/>
      <c r="P3428" s="16"/>
    </row>
    <row r="3429" spans="5:16" hidden="1" x14ac:dyDescent="0.25">
      <c r="E3429" s="43">
        <f>COUNTIF($O$7:O3429,FORMULARIO!$AA$2)</f>
        <v>1</v>
      </c>
      <c r="M3429" s="46"/>
      <c r="P3429" s="16"/>
    </row>
    <row r="3430" spans="5:16" hidden="1" x14ac:dyDescent="0.25">
      <c r="E3430" s="43">
        <f>COUNTIF($O$7:O3430,FORMULARIO!$AA$2)</f>
        <v>1</v>
      </c>
      <c r="M3430" s="46"/>
      <c r="P3430" s="16"/>
    </row>
    <row r="3431" spans="5:16" hidden="1" x14ac:dyDescent="0.25">
      <c r="E3431" s="43">
        <f>COUNTIF($O$7:O3431,FORMULARIO!$AA$2)</f>
        <v>1</v>
      </c>
      <c r="M3431" s="46"/>
      <c r="P3431" s="16"/>
    </row>
    <row r="3432" spans="5:16" hidden="1" x14ac:dyDescent="0.25">
      <c r="E3432" s="43">
        <f>COUNTIF($O$7:O3432,FORMULARIO!$AA$2)</f>
        <v>1</v>
      </c>
      <c r="M3432" s="46"/>
      <c r="P3432" s="16"/>
    </row>
    <row r="3433" spans="5:16" hidden="1" x14ac:dyDescent="0.25">
      <c r="E3433" s="43">
        <f>COUNTIF($O$7:O3433,FORMULARIO!$AA$2)</f>
        <v>1</v>
      </c>
      <c r="M3433" s="46"/>
      <c r="P3433" s="16"/>
    </row>
    <row r="3434" spans="5:16" hidden="1" x14ac:dyDescent="0.25">
      <c r="E3434" s="43">
        <f>COUNTIF($O$7:O3434,FORMULARIO!$AA$2)</f>
        <v>1</v>
      </c>
      <c r="M3434" s="46"/>
      <c r="P3434" s="16"/>
    </row>
    <row r="3435" spans="5:16" hidden="1" x14ac:dyDescent="0.25">
      <c r="E3435" s="43">
        <f>COUNTIF($O$7:O3435,FORMULARIO!$AA$2)</f>
        <v>1</v>
      </c>
      <c r="M3435" s="46"/>
      <c r="P3435" s="16"/>
    </row>
    <row r="3436" spans="5:16" hidden="1" x14ac:dyDescent="0.25">
      <c r="E3436" s="43">
        <f>COUNTIF($O$7:O3436,FORMULARIO!$AA$2)</f>
        <v>1</v>
      </c>
      <c r="M3436" s="46"/>
      <c r="P3436" s="16"/>
    </row>
    <row r="3437" spans="5:16" hidden="1" x14ac:dyDescent="0.25">
      <c r="E3437" s="43">
        <f>COUNTIF($O$7:O3437,FORMULARIO!$AA$2)</f>
        <v>1</v>
      </c>
      <c r="M3437" s="46"/>
      <c r="P3437" s="16"/>
    </row>
    <row r="3438" spans="5:16" hidden="1" x14ac:dyDescent="0.25">
      <c r="E3438" s="43">
        <f>COUNTIF($O$7:O3438,FORMULARIO!$AA$2)</f>
        <v>1</v>
      </c>
      <c r="M3438" s="46"/>
      <c r="P3438" s="16"/>
    </row>
    <row r="3439" spans="5:16" hidden="1" x14ac:dyDescent="0.25">
      <c r="E3439" s="43">
        <f>COUNTIF($O$7:O3439,FORMULARIO!$AA$2)</f>
        <v>1</v>
      </c>
      <c r="M3439" s="46"/>
      <c r="P3439" s="16"/>
    </row>
    <row r="3440" spans="5:16" hidden="1" x14ac:dyDescent="0.25">
      <c r="E3440" s="43">
        <f>COUNTIF($O$7:O3440,FORMULARIO!$AA$2)</f>
        <v>1</v>
      </c>
      <c r="M3440" s="46"/>
      <c r="P3440" s="16"/>
    </row>
    <row r="3441" spans="5:16" hidden="1" x14ac:dyDescent="0.25">
      <c r="E3441" s="43">
        <f>COUNTIF($O$7:O3441,FORMULARIO!$AA$2)</f>
        <v>1</v>
      </c>
      <c r="M3441" s="46"/>
      <c r="P3441" s="16"/>
    </row>
    <row r="3442" spans="5:16" hidden="1" x14ac:dyDescent="0.25">
      <c r="E3442" s="43">
        <f>COUNTIF($O$7:O3442,FORMULARIO!$AA$2)</f>
        <v>1</v>
      </c>
      <c r="M3442" s="46"/>
      <c r="P3442" s="16"/>
    </row>
    <row r="3443" spans="5:16" hidden="1" x14ac:dyDescent="0.25">
      <c r="E3443" s="43">
        <f>COUNTIF($O$7:O3443,FORMULARIO!$AA$2)</f>
        <v>1</v>
      </c>
      <c r="M3443" s="46"/>
      <c r="P3443" s="16"/>
    </row>
    <row r="3444" spans="5:16" hidden="1" x14ac:dyDescent="0.25">
      <c r="E3444" s="43">
        <f>COUNTIF($O$7:O3444,FORMULARIO!$AA$2)</f>
        <v>1</v>
      </c>
      <c r="M3444" s="46"/>
      <c r="P3444" s="16"/>
    </row>
    <row r="3445" spans="5:16" hidden="1" x14ac:dyDescent="0.25">
      <c r="E3445" s="43">
        <f>COUNTIF($O$7:O3445,FORMULARIO!$AA$2)</f>
        <v>1</v>
      </c>
      <c r="M3445" s="46"/>
      <c r="P3445" s="16"/>
    </row>
    <row r="3446" spans="5:16" hidden="1" x14ac:dyDescent="0.25">
      <c r="E3446" s="43">
        <f>COUNTIF($O$7:O3446,FORMULARIO!$AA$2)</f>
        <v>1</v>
      </c>
      <c r="M3446" s="46"/>
      <c r="P3446" s="16"/>
    </row>
    <row r="3447" spans="5:16" hidden="1" x14ac:dyDescent="0.25">
      <c r="E3447" s="43">
        <f>COUNTIF($O$7:O3447,FORMULARIO!$AA$2)</f>
        <v>1</v>
      </c>
      <c r="M3447" s="46"/>
      <c r="P3447" s="16"/>
    </row>
    <row r="3448" spans="5:16" hidden="1" x14ac:dyDescent="0.25">
      <c r="E3448" s="43">
        <f>COUNTIF($O$7:O3448,FORMULARIO!$AA$2)</f>
        <v>1</v>
      </c>
      <c r="M3448" s="46"/>
      <c r="P3448" s="16"/>
    </row>
    <row r="3449" spans="5:16" hidden="1" x14ac:dyDescent="0.25">
      <c r="E3449" s="43">
        <f>COUNTIF($O$7:O3449,FORMULARIO!$AA$2)</f>
        <v>1</v>
      </c>
      <c r="M3449" s="46"/>
      <c r="P3449" s="16"/>
    </row>
    <row r="3450" spans="5:16" hidden="1" x14ac:dyDescent="0.25">
      <c r="E3450" s="43">
        <f>COUNTIF($O$7:O3450,FORMULARIO!$AA$2)</f>
        <v>1</v>
      </c>
      <c r="M3450" s="46"/>
      <c r="P3450" s="16"/>
    </row>
    <row r="3451" spans="5:16" hidden="1" x14ac:dyDescent="0.25">
      <c r="E3451" s="43">
        <f>COUNTIF($O$7:O3451,FORMULARIO!$AA$2)</f>
        <v>1</v>
      </c>
      <c r="M3451" s="46"/>
      <c r="P3451" s="16"/>
    </row>
    <row r="3452" spans="5:16" hidden="1" x14ac:dyDescent="0.25">
      <c r="E3452" s="43">
        <f>COUNTIF($O$7:O3452,FORMULARIO!$AA$2)</f>
        <v>1</v>
      </c>
      <c r="M3452" s="46"/>
      <c r="P3452" s="16"/>
    </row>
    <row r="3453" spans="5:16" hidden="1" x14ac:dyDescent="0.25">
      <c r="E3453" s="43">
        <f>COUNTIF($O$7:O3453,FORMULARIO!$AA$2)</f>
        <v>1</v>
      </c>
      <c r="M3453" s="46"/>
      <c r="P3453" s="16"/>
    </row>
    <row r="3454" spans="5:16" hidden="1" x14ac:dyDescent="0.25">
      <c r="E3454" s="43">
        <f>COUNTIF($O$7:O3454,FORMULARIO!$AA$2)</f>
        <v>1</v>
      </c>
      <c r="M3454" s="46"/>
      <c r="P3454" s="16"/>
    </row>
    <row r="3455" spans="5:16" hidden="1" x14ac:dyDescent="0.25">
      <c r="E3455" s="43">
        <f>COUNTIF($O$7:O3455,FORMULARIO!$AA$2)</f>
        <v>1</v>
      </c>
      <c r="M3455" s="46"/>
      <c r="P3455" s="16"/>
    </row>
    <row r="3456" spans="5:16" hidden="1" x14ac:dyDescent="0.25">
      <c r="E3456" s="43">
        <f>COUNTIF($O$7:O3456,FORMULARIO!$AA$2)</f>
        <v>1</v>
      </c>
      <c r="M3456" s="46"/>
      <c r="P3456" s="16"/>
    </row>
    <row r="3457" spans="5:16" hidden="1" x14ac:dyDescent="0.25">
      <c r="E3457" s="43">
        <f>COUNTIF($O$7:O3457,FORMULARIO!$AA$2)</f>
        <v>1</v>
      </c>
      <c r="M3457" s="46"/>
      <c r="P3457" s="16"/>
    </row>
    <row r="3458" spans="5:16" hidden="1" x14ac:dyDescent="0.25">
      <c r="E3458" s="43">
        <f>COUNTIF($O$7:O3458,FORMULARIO!$AA$2)</f>
        <v>1</v>
      </c>
      <c r="M3458" s="46"/>
      <c r="P3458" s="16"/>
    </row>
    <row r="3459" spans="5:16" hidden="1" x14ac:dyDescent="0.25">
      <c r="E3459" s="43">
        <f>COUNTIF($O$7:O3459,FORMULARIO!$AA$2)</f>
        <v>1</v>
      </c>
      <c r="M3459" s="46"/>
      <c r="P3459" s="16"/>
    </row>
    <row r="3460" spans="5:16" hidden="1" x14ac:dyDescent="0.25">
      <c r="E3460" s="43">
        <f>COUNTIF($O$7:O3460,FORMULARIO!$AA$2)</f>
        <v>1</v>
      </c>
      <c r="M3460" s="46"/>
      <c r="P3460" s="16"/>
    </row>
    <row r="3461" spans="5:16" hidden="1" x14ac:dyDescent="0.25">
      <c r="E3461" s="43">
        <f>COUNTIF($O$7:O3461,FORMULARIO!$AA$2)</f>
        <v>1</v>
      </c>
      <c r="M3461" s="46"/>
      <c r="P3461" s="16"/>
    </row>
    <row r="3462" spans="5:16" hidden="1" x14ac:dyDescent="0.25">
      <c r="E3462" s="43">
        <f>COUNTIF($O$7:O3462,FORMULARIO!$AA$2)</f>
        <v>1</v>
      </c>
      <c r="M3462" s="46"/>
      <c r="P3462" s="16"/>
    </row>
    <row r="3463" spans="5:16" hidden="1" x14ac:dyDescent="0.25">
      <c r="E3463" s="43">
        <f>COUNTIF($O$7:O3463,FORMULARIO!$AA$2)</f>
        <v>1</v>
      </c>
      <c r="M3463" s="46"/>
      <c r="P3463" s="16"/>
    </row>
    <row r="3464" spans="5:16" hidden="1" x14ac:dyDescent="0.25">
      <c r="E3464" s="43">
        <f>COUNTIF($O$7:O3464,FORMULARIO!$AA$2)</f>
        <v>1</v>
      </c>
      <c r="M3464" s="46"/>
      <c r="P3464" s="16"/>
    </row>
    <row r="3465" spans="5:16" hidden="1" x14ac:dyDescent="0.25">
      <c r="E3465" s="43">
        <f>COUNTIF($O$7:O3465,FORMULARIO!$AA$2)</f>
        <v>1</v>
      </c>
      <c r="M3465" s="46"/>
      <c r="P3465" s="16"/>
    </row>
    <row r="3466" spans="5:16" hidden="1" x14ac:dyDescent="0.25">
      <c r="E3466" s="43">
        <f>COUNTIF($O$7:O3466,FORMULARIO!$AA$2)</f>
        <v>1</v>
      </c>
      <c r="M3466" s="46"/>
      <c r="P3466" s="16"/>
    </row>
    <row r="3467" spans="5:16" hidden="1" x14ac:dyDescent="0.25">
      <c r="E3467" s="43">
        <f>COUNTIF($O$7:O3467,FORMULARIO!$AA$2)</f>
        <v>1</v>
      </c>
      <c r="M3467" s="46"/>
      <c r="P3467" s="16"/>
    </row>
    <row r="3468" spans="5:16" hidden="1" x14ac:dyDescent="0.25">
      <c r="E3468" s="43">
        <f>COUNTIF($O$7:O3468,FORMULARIO!$AA$2)</f>
        <v>1</v>
      </c>
      <c r="M3468" s="46"/>
      <c r="P3468" s="16"/>
    </row>
    <row r="3469" spans="5:16" hidden="1" x14ac:dyDescent="0.25">
      <c r="E3469" s="43">
        <f>COUNTIF($O$7:O3469,FORMULARIO!$AA$2)</f>
        <v>1</v>
      </c>
      <c r="M3469" s="46"/>
      <c r="P3469" s="16"/>
    </row>
    <row r="3470" spans="5:16" hidden="1" x14ac:dyDescent="0.25">
      <c r="E3470" s="43">
        <f>COUNTIF($O$7:O3470,FORMULARIO!$AA$2)</f>
        <v>1</v>
      </c>
      <c r="M3470" s="46"/>
      <c r="P3470" s="16"/>
    </row>
    <row r="3471" spans="5:16" hidden="1" x14ac:dyDescent="0.25">
      <c r="E3471" s="43">
        <f>COUNTIF($O$7:O3471,FORMULARIO!$AA$2)</f>
        <v>1</v>
      </c>
      <c r="M3471" s="46"/>
      <c r="P3471" s="16"/>
    </row>
    <row r="3472" spans="5:16" hidden="1" x14ac:dyDescent="0.25">
      <c r="E3472" s="43">
        <f>COUNTIF($O$7:O3472,FORMULARIO!$AA$2)</f>
        <v>1</v>
      </c>
      <c r="M3472" s="46"/>
      <c r="P3472" s="16"/>
    </row>
    <row r="3473" spans="5:16" hidden="1" x14ac:dyDescent="0.25">
      <c r="E3473" s="43">
        <f>COUNTIF($O$7:O3473,FORMULARIO!$AA$2)</f>
        <v>1</v>
      </c>
      <c r="M3473" s="46"/>
      <c r="P3473" s="16"/>
    </row>
    <row r="3474" spans="5:16" hidden="1" x14ac:dyDescent="0.25">
      <c r="E3474" s="43">
        <f>COUNTIF($O$7:O3474,FORMULARIO!$AA$2)</f>
        <v>1</v>
      </c>
      <c r="M3474" s="46"/>
      <c r="P3474" s="16"/>
    </row>
    <row r="3475" spans="5:16" hidden="1" x14ac:dyDescent="0.25">
      <c r="E3475" s="43">
        <f>COUNTIF($O$7:O3475,FORMULARIO!$AA$2)</f>
        <v>1</v>
      </c>
      <c r="M3475" s="46"/>
      <c r="P3475" s="16"/>
    </row>
    <row r="3476" spans="5:16" hidden="1" x14ac:dyDescent="0.25">
      <c r="E3476" s="43">
        <f>COUNTIF($O$7:O3476,FORMULARIO!$AA$2)</f>
        <v>1</v>
      </c>
      <c r="M3476" s="46"/>
      <c r="P3476" s="16"/>
    </row>
    <row r="3477" spans="5:16" hidden="1" x14ac:dyDescent="0.25">
      <c r="E3477" s="43">
        <f>COUNTIF($O$7:O3477,FORMULARIO!$AA$2)</f>
        <v>1</v>
      </c>
      <c r="M3477" s="46"/>
      <c r="P3477" s="16"/>
    </row>
    <row r="3478" spans="5:16" hidden="1" x14ac:dyDescent="0.25">
      <c r="E3478" s="43">
        <f>COUNTIF($O$7:O3478,FORMULARIO!$AA$2)</f>
        <v>1</v>
      </c>
      <c r="M3478" s="46"/>
      <c r="P3478" s="16"/>
    </row>
    <row r="3479" spans="5:16" hidden="1" x14ac:dyDescent="0.25">
      <c r="E3479" s="43">
        <f>COUNTIF($O$7:O3479,FORMULARIO!$AA$2)</f>
        <v>1</v>
      </c>
      <c r="M3479" s="46"/>
      <c r="P3479" s="16"/>
    </row>
    <row r="3480" spans="5:16" hidden="1" x14ac:dyDescent="0.25">
      <c r="E3480" s="43">
        <f>COUNTIF($O$7:O3480,FORMULARIO!$AA$2)</f>
        <v>1</v>
      </c>
      <c r="M3480" s="46"/>
      <c r="P3480" s="16"/>
    </row>
    <row r="3481" spans="5:16" hidden="1" x14ac:dyDescent="0.25">
      <c r="E3481" s="43">
        <f>COUNTIF($O$7:O3481,FORMULARIO!$AA$2)</f>
        <v>1</v>
      </c>
      <c r="M3481" s="46"/>
      <c r="P3481" s="16"/>
    </row>
    <row r="3482" spans="5:16" hidden="1" x14ac:dyDescent="0.25">
      <c r="E3482" s="43">
        <f>COUNTIF($O$7:O3482,FORMULARIO!$AA$2)</f>
        <v>1</v>
      </c>
      <c r="M3482" s="46"/>
      <c r="P3482" s="16"/>
    </row>
    <row r="3483" spans="5:16" hidden="1" x14ac:dyDescent="0.25">
      <c r="E3483" s="43">
        <f>COUNTIF($O$7:O3483,FORMULARIO!$AA$2)</f>
        <v>1</v>
      </c>
      <c r="M3483" s="46"/>
      <c r="P3483" s="16"/>
    </row>
    <row r="3484" spans="5:16" hidden="1" x14ac:dyDescent="0.25">
      <c r="E3484" s="43">
        <f>COUNTIF($O$7:O3484,FORMULARIO!$AA$2)</f>
        <v>1</v>
      </c>
      <c r="M3484" s="46"/>
      <c r="P3484" s="16"/>
    </row>
    <row r="3485" spans="5:16" hidden="1" x14ac:dyDescent="0.25">
      <c r="E3485" s="43">
        <f>COUNTIF($O$7:O3485,FORMULARIO!$AA$2)</f>
        <v>1</v>
      </c>
      <c r="M3485" s="46"/>
      <c r="P3485" s="16"/>
    </row>
    <row r="3486" spans="5:16" hidden="1" x14ac:dyDescent="0.25">
      <c r="E3486" s="43">
        <f>COUNTIF($O$7:O3486,FORMULARIO!$AA$2)</f>
        <v>1</v>
      </c>
      <c r="M3486" s="46"/>
      <c r="P3486" s="16"/>
    </row>
    <row r="3487" spans="5:16" hidden="1" x14ac:dyDescent="0.25">
      <c r="E3487" s="43">
        <f>COUNTIF($O$7:O3487,FORMULARIO!$AA$2)</f>
        <v>1</v>
      </c>
      <c r="M3487" s="46"/>
      <c r="P3487" s="16"/>
    </row>
    <row r="3488" spans="5:16" hidden="1" x14ac:dyDescent="0.25">
      <c r="E3488" s="43">
        <f>COUNTIF($O$7:O3488,FORMULARIO!$AA$2)</f>
        <v>1</v>
      </c>
      <c r="M3488" s="46"/>
      <c r="P3488" s="16"/>
    </row>
    <row r="3489" spans="5:16" hidden="1" x14ac:dyDescent="0.25">
      <c r="E3489" s="43">
        <f>COUNTIF($O$7:O3489,FORMULARIO!$AA$2)</f>
        <v>1</v>
      </c>
      <c r="M3489" s="46"/>
      <c r="P3489" s="16"/>
    </row>
    <row r="3490" spans="5:16" hidden="1" x14ac:dyDescent="0.25">
      <c r="E3490" s="43">
        <f>COUNTIF($O$7:O3490,FORMULARIO!$AA$2)</f>
        <v>1</v>
      </c>
      <c r="M3490" s="46"/>
      <c r="P3490" s="16"/>
    </row>
    <row r="3491" spans="5:16" hidden="1" x14ac:dyDescent="0.25">
      <c r="E3491" s="43">
        <f>COUNTIF($O$7:O3491,FORMULARIO!$AA$2)</f>
        <v>1</v>
      </c>
      <c r="M3491" s="46"/>
      <c r="P3491" s="16"/>
    </row>
    <row r="3492" spans="5:16" hidden="1" x14ac:dyDescent="0.25">
      <c r="E3492" s="43">
        <f>COUNTIF($O$7:O3492,FORMULARIO!$AA$2)</f>
        <v>1</v>
      </c>
      <c r="M3492" s="46"/>
      <c r="P3492" s="16"/>
    </row>
    <row r="3493" spans="5:16" hidden="1" x14ac:dyDescent="0.25">
      <c r="E3493" s="43">
        <f>COUNTIF($O$7:O3493,FORMULARIO!$AA$2)</f>
        <v>1</v>
      </c>
      <c r="M3493" s="46"/>
      <c r="P3493" s="16"/>
    </row>
    <row r="3494" spans="5:16" hidden="1" x14ac:dyDescent="0.25">
      <c r="E3494" s="43">
        <f>COUNTIF($O$7:O3494,FORMULARIO!$AA$2)</f>
        <v>1</v>
      </c>
      <c r="M3494" s="46"/>
      <c r="P3494" s="16"/>
    </row>
    <row r="3495" spans="5:16" hidden="1" x14ac:dyDescent="0.25">
      <c r="E3495" s="43">
        <f>COUNTIF($O$7:O3495,FORMULARIO!$AA$2)</f>
        <v>1</v>
      </c>
      <c r="M3495" s="46"/>
      <c r="P3495" s="16"/>
    </row>
    <row r="3496" spans="5:16" hidden="1" x14ac:dyDescent="0.25">
      <c r="E3496" s="43">
        <f>COUNTIF($O$7:O3496,FORMULARIO!$AA$2)</f>
        <v>1</v>
      </c>
      <c r="M3496" s="46"/>
      <c r="P3496" s="16"/>
    </row>
    <row r="3497" spans="5:16" hidden="1" x14ac:dyDescent="0.25">
      <c r="E3497" s="43">
        <f>COUNTIF($O$7:O3497,FORMULARIO!$AA$2)</f>
        <v>1</v>
      </c>
      <c r="M3497" s="46"/>
      <c r="P3497" s="16"/>
    </row>
    <row r="3498" spans="5:16" hidden="1" x14ac:dyDescent="0.25">
      <c r="E3498" s="43">
        <f>COUNTIF($O$7:O3498,FORMULARIO!$AA$2)</f>
        <v>1</v>
      </c>
      <c r="M3498" s="46"/>
      <c r="P3498" s="16"/>
    </row>
    <row r="3499" spans="5:16" hidden="1" x14ac:dyDescent="0.25">
      <c r="E3499" s="43">
        <f>COUNTIF($O$7:O3499,FORMULARIO!$AA$2)</f>
        <v>1</v>
      </c>
      <c r="M3499" s="46"/>
      <c r="P3499" s="16"/>
    </row>
    <row r="3500" spans="5:16" hidden="1" x14ac:dyDescent="0.25">
      <c r="E3500" s="43">
        <f>COUNTIF($O$7:O3500,FORMULARIO!$AA$2)</f>
        <v>1</v>
      </c>
      <c r="M3500" s="46"/>
      <c r="P3500" s="16"/>
    </row>
    <row r="3501" spans="5:16" hidden="1" x14ac:dyDescent="0.25">
      <c r="E3501" s="43">
        <f>COUNTIF($O$7:O3501,FORMULARIO!$AA$2)</f>
        <v>1</v>
      </c>
      <c r="M3501" s="46"/>
      <c r="P3501" s="16"/>
    </row>
    <row r="3502" spans="5:16" hidden="1" x14ac:dyDescent="0.25">
      <c r="E3502" s="43">
        <f>COUNTIF($O$7:O3502,FORMULARIO!$AA$2)</f>
        <v>1</v>
      </c>
      <c r="M3502" s="46"/>
      <c r="P3502" s="16"/>
    </row>
    <row r="3503" spans="5:16" hidden="1" x14ac:dyDescent="0.25">
      <c r="E3503" s="43">
        <f>COUNTIF($O$7:O3503,FORMULARIO!$AA$2)</f>
        <v>1</v>
      </c>
      <c r="M3503" s="46"/>
      <c r="P3503" s="16"/>
    </row>
    <row r="3504" spans="5:16" hidden="1" x14ac:dyDescent="0.25">
      <c r="E3504" s="43">
        <f>COUNTIF($O$7:O3504,FORMULARIO!$AA$2)</f>
        <v>1</v>
      </c>
      <c r="M3504" s="46"/>
      <c r="P3504" s="16"/>
    </row>
    <row r="3505" spans="5:16" hidden="1" x14ac:dyDescent="0.25">
      <c r="E3505" s="43">
        <f>COUNTIF($O$7:O3505,FORMULARIO!$AA$2)</f>
        <v>1</v>
      </c>
      <c r="M3505" s="46"/>
      <c r="P3505" s="16"/>
    </row>
    <row r="3506" spans="5:16" hidden="1" x14ac:dyDescent="0.25">
      <c r="E3506" s="43">
        <f>COUNTIF($O$7:O3506,FORMULARIO!$AA$2)</f>
        <v>1</v>
      </c>
      <c r="M3506" s="46"/>
      <c r="P3506" s="16"/>
    </row>
    <row r="3507" spans="5:16" hidden="1" x14ac:dyDescent="0.25">
      <c r="E3507" s="43">
        <f>COUNTIF($O$7:O3507,FORMULARIO!$AA$2)</f>
        <v>1</v>
      </c>
      <c r="M3507" s="46"/>
      <c r="P3507" s="16"/>
    </row>
    <row r="3508" spans="5:16" hidden="1" x14ac:dyDescent="0.25">
      <c r="E3508" s="43">
        <f>COUNTIF($O$7:O3508,FORMULARIO!$AA$2)</f>
        <v>1</v>
      </c>
      <c r="M3508" s="46"/>
      <c r="P3508" s="16"/>
    </row>
    <row r="3509" spans="5:16" hidden="1" x14ac:dyDescent="0.25">
      <c r="E3509" s="43">
        <f>COUNTIF($O$7:O3509,FORMULARIO!$AA$2)</f>
        <v>1</v>
      </c>
      <c r="M3509" s="46"/>
      <c r="P3509" s="16"/>
    </row>
    <row r="3510" spans="5:16" hidden="1" x14ac:dyDescent="0.25">
      <c r="E3510" s="43">
        <f>COUNTIF($O$7:O3510,FORMULARIO!$AA$2)</f>
        <v>1</v>
      </c>
      <c r="M3510" s="46"/>
      <c r="P3510" s="16"/>
    </row>
    <row r="3511" spans="5:16" hidden="1" x14ac:dyDescent="0.25">
      <c r="E3511" s="43">
        <f>COUNTIF($O$7:O3511,FORMULARIO!$AA$2)</f>
        <v>1</v>
      </c>
      <c r="M3511" s="46"/>
      <c r="P3511" s="16"/>
    </row>
    <row r="3512" spans="5:16" hidden="1" x14ac:dyDescent="0.25">
      <c r="E3512" s="43">
        <f>COUNTIF($O$7:O3512,FORMULARIO!$AA$2)</f>
        <v>1</v>
      </c>
      <c r="M3512" s="46"/>
      <c r="P3512" s="16"/>
    </row>
    <row r="3513" spans="5:16" hidden="1" x14ac:dyDescent="0.25">
      <c r="E3513" s="43">
        <f>COUNTIF($O$7:O3513,FORMULARIO!$AA$2)</f>
        <v>1</v>
      </c>
      <c r="M3513" s="46"/>
      <c r="P3513" s="16"/>
    </row>
    <row r="3514" spans="5:16" hidden="1" x14ac:dyDescent="0.25">
      <c r="E3514" s="43">
        <f>COUNTIF($O$7:O3514,FORMULARIO!$AA$2)</f>
        <v>1</v>
      </c>
      <c r="M3514" s="46"/>
      <c r="P3514" s="16"/>
    </row>
    <row r="3515" spans="5:16" hidden="1" x14ac:dyDescent="0.25">
      <c r="E3515" s="43">
        <f>COUNTIF($O$7:O3515,FORMULARIO!$AA$2)</f>
        <v>1</v>
      </c>
      <c r="M3515" s="46"/>
      <c r="P3515" s="16"/>
    </row>
    <row r="3516" spans="5:16" hidden="1" x14ac:dyDescent="0.25">
      <c r="E3516" s="43">
        <f>COUNTIF($O$7:O3516,FORMULARIO!$AA$2)</f>
        <v>1</v>
      </c>
      <c r="M3516" s="46"/>
      <c r="P3516" s="16"/>
    </row>
    <row r="3517" spans="5:16" hidden="1" x14ac:dyDescent="0.25">
      <c r="E3517" s="43">
        <f>COUNTIF($O$7:O3517,FORMULARIO!$AA$2)</f>
        <v>1</v>
      </c>
      <c r="M3517" s="46"/>
      <c r="P3517" s="16"/>
    </row>
    <row r="3518" spans="5:16" hidden="1" x14ac:dyDescent="0.25">
      <c r="E3518" s="43">
        <f>COUNTIF($O$7:O3518,FORMULARIO!$AA$2)</f>
        <v>1</v>
      </c>
      <c r="M3518" s="46"/>
      <c r="P3518" s="16"/>
    </row>
    <row r="3519" spans="5:16" hidden="1" x14ac:dyDescent="0.25">
      <c r="E3519" s="43">
        <f>COUNTIF($O$7:O3519,FORMULARIO!$AA$2)</f>
        <v>1</v>
      </c>
      <c r="M3519" s="46"/>
      <c r="P3519" s="16"/>
    </row>
    <row r="3520" spans="5:16" hidden="1" x14ac:dyDescent="0.25">
      <c r="E3520" s="43">
        <f>COUNTIF($O$7:O3520,FORMULARIO!$AA$2)</f>
        <v>1</v>
      </c>
      <c r="M3520" s="46"/>
      <c r="P3520" s="16"/>
    </row>
    <row r="3521" spans="5:16" hidden="1" x14ac:dyDescent="0.25">
      <c r="E3521" s="43">
        <f>COUNTIF($O$7:O3521,FORMULARIO!$AA$2)</f>
        <v>1</v>
      </c>
      <c r="M3521" s="46"/>
      <c r="P3521" s="16"/>
    </row>
    <row r="3522" spans="5:16" hidden="1" x14ac:dyDescent="0.25">
      <c r="E3522" s="43">
        <f>COUNTIF($O$7:O3522,FORMULARIO!$AA$2)</f>
        <v>1</v>
      </c>
      <c r="M3522" s="46"/>
      <c r="P3522" s="16"/>
    </row>
    <row r="3523" spans="5:16" hidden="1" x14ac:dyDescent="0.25">
      <c r="E3523" s="43">
        <f>COUNTIF($O$7:O3523,FORMULARIO!$AA$2)</f>
        <v>1</v>
      </c>
      <c r="M3523" s="46"/>
      <c r="P3523" s="16"/>
    </row>
    <row r="3524" spans="5:16" hidden="1" x14ac:dyDescent="0.25">
      <c r="E3524" s="43">
        <f>COUNTIF($O$7:O3524,FORMULARIO!$AA$2)</f>
        <v>1</v>
      </c>
      <c r="M3524" s="46"/>
      <c r="P3524" s="16"/>
    </row>
    <row r="3525" spans="5:16" hidden="1" x14ac:dyDescent="0.25">
      <c r="E3525" s="43">
        <f>COUNTIF($O$7:O3525,FORMULARIO!$AA$2)</f>
        <v>1</v>
      </c>
      <c r="M3525" s="46"/>
      <c r="P3525" s="16"/>
    </row>
    <row r="3526" spans="5:16" hidden="1" x14ac:dyDescent="0.25">
      <c r="E3526" s="43">
        <f>COUNTIF($O$7:O3526,FORMULARIO!$AA$2)</f>
        <v>1</v>
      </c>
      <c r="M3526" s="46"/>
      <c r="P3526" s="16"/>
    </row>
    <row r="3527" spans="5:16" hidden="1" x14ac:dyDescent="0.25">
      <c r="E3527" s="43">
        <f>COUNTIF($O$7:O3527,FORMULARIO!$AA$2)</f>
        <v>1</v>
      </c>
      <c r="M3527" s="46"/>
      <c r="P3527" s="16"/>
    </row>
    <row r="3528" spans="5:16" hidden="1" x14ac:dyDescent="0.25">
      <c r="E3528" s="43">
        <f>COUNTIF($O$7:O3528,FORMULARIO!$AA$2)</f>
        <v>1</v>
      </c>
      <c r="M3528" s="46"/>
      <c r="P3528" s="16"/>
    </row>
    <row r="3529" spans="5:16" hidden="1" x14ac:dyDescent="0.25">
      <c r="E3529" s="43">
        <f>COUNTIF($O$7:O3529,FORMULARIO!$AA$2)</f>
        <v>1</v>
      </c>
      <c r="M3529" s="46"/>
      <c r="P3529" s="16"/>
    </row>
    <row r="3530" spans="5:16" hidden="1" x14ac:dyDescent="0.25">
      <c r="E3530" s="43">
        <f>COUNTIF($O$7:O3530,FORMULARIO!$AA$2)</f>
        <v>1</v>
      </c>
      <c r="M3530" s="46"/>
      <c r="P3530" s="16"/>
    </row>
    <row r="3531" spans="5:16" hidden="1" x14ac:dyDescent="0.25">
      <c r="E3531" s="43">
        <f>COUNTIF($O$7:O3531,FORMULARIO!$AA$2)</f>
        <v>1</v>
      </c>
      <c r="M3531" s="46"/>
      <c r="P3531" s="16"/>
    </row>
    <row r="3532" spans="5:16" hidden="1" x14ac:dyDescent="0.25">
      <c r="E3532" s="43">
        <f>COUNTIF($O$7:O3532,FORMULARIO!$AA$2)</f>
        <v>1</v>
      </c>
      <c r="M3532" s="46"/>
      <c r="P3532" s="16"/>
    </row>
    <row r="3533" spans="5:16" hidden="1" x14ac:dyDescent="0.25">
      <c r="E3533" s="43">
        <f>COUNTIF($O$7:O3533,FORMULARIO!$AA$2)</f>
        <v>1</v>
      </c>
      <c r="M3533" s="46"/>
      <c r="P3533" s="16"/>
    </row>
    <row r="3534" spans="5:16" hidden="1" x14ac:dyDescent="0.25">
      <c r="E3534" s="43">
        <f>COUNTIF($O$7:O3534,FORMULARIO!$AA$2)</f>
        <v>1</v>
      </c>
      <c r="M3534" s="46"/>
      <c r="P3534" s="16"/>
    </row>
    <row r="3535" spans="5:16" hidden="1" x14ac:dyDescent="0.25">
      <c r="E3535" s="43">
        <f>COUNTIF($O$7:O3535,FORMULARIO!$AA$2)</f>
        <v>1</v>
      </c>
      <c r="M3535" s="46"/>
      <c r="P3535" s="16"/>
    </row>
    <row r="3536" spans="5:16" hidden="1" x14ac:dyDescent="0.25">
      <c r="E3536" s="43">
        <f>COUNTIF($O$7:O3536,FORMULARIO!$AA$2)</f>
        <v>1</v>
      </c>
      <c r="M3536" s="46"/>
      <c r="P3536" s="16"/>
    </row>
    <row r="3537" spans="5:16" hidden="1" x14ac:dyDescent="0.25">
      <c r="E3537" s="43">
        <f>COUNTIF($O$7:O3537,FORMULARIO!$AA$2)</f>
        <v>1</v>
      </c>
      <c r="M3537" s="46"/>
      <c r="P3537" s="16"/>
    </row>
    <row r="3538" spans="5:16" hidden="1" x14ac:dyDescent="0.25">
      <c r="E3538" s="43">
        <f>COUNTIF($O$7:O3538,FORMULARIO!$AA$2)</f>
        <v>1</v>
      </c>
      <c r="M3538" s="46"/>
      <c r="P3538" s="16"/>
    </row>
    <row r="3539" spans="5:16" hidden="1" x14ac:dyDescent="0.25">
      <c r="E3539" s="43">
        <f>COUNTIF($O$7:O3539,FORMULARIO!$AA$2)</f>
        <v>1</v>
      </c>
      <c r="M3539" s="46"/>
      <c r="P3539" s="16"/>
    </row>
    <row r="3540" spans="5:16" hidden="1" x14ac:dyDescent="0.25">
      <c r="E3540" s="43">
        <f>COUNTIF($O$7:O3540,FORMULARIO!$AA$2)</f>
        <v>1</v>
      </c>
      <c r="M3540" s="46"/>
      <c r="P3540" s="16"/>
    </row>
    <row r="3541" spans="5:16" hidden="1" x14ac:dyDescent="0.25">
      <c r="E3541" s="43">
        <f>COUNTIF($O$7:O3541,FORMULARIO!$AA$2)</f>
        <v>1</v>
      </c>
      <c r="M3541" s="46"/>
      <c r="P3541" s="16"/>
    </row>
    <row r="3542" spans="5:16" hidden="1" x14ac:dyDescent="0.25">
      <c r="E3542" s="43">
        <f>COUNTIF($O$7:O3542,FORMULARIO!$AA$2)</f>
        <v>1</v>
      </c>
      <c r="M3542" s="46"/>
      <c r="P3542" s="16"/>
    </row>
    <row r="3543" spans="5:16" hidden="1" x14ac:dyDescent="0.25">
      <c r="E3543" s="43">
        <f>COUNTIF($O$7:O3543,FORMULARIO!$AA$2)</f>
        <v>1</v>
      </c>
      <c r="M3543" s="46"/>
      <c r="P3543" s="16"/>
    </row>
    <row r="3544" spans="5:16" hidden="1" x14ac:dyDescent="0.25">
      <c r="E3544" s="43">
        <f>COUNTIF($O$7:O3544,FORMULARIO!$AA$2)</f>
        <v>1</v>
      </c>
      <c r="M3544" s="46"/>
      <c r="P3544" s="16"/>
    </row>
    <row r="3545" spans="5:16" hidden="1" x14ac:dyDescent="0.25">
      <c r="E3545" s="43">
        <f>COUNTIF($O$7:O3545,FORMULARIO!$AA$2)</f>
        <v>1</v>
      </c>
      <c r="M3545" s="46"/>
      <c r="P3545" s="16"/>
    </row>
    <row r="3546" spans="5:16" hidden="1" x14ac:dyDescent="0.25">
      <c r="E3546" s="43">
        <f>COUNTIF($O$7:O3546,FORMULARIO!$AA$2)</f>
        <v>1</v>
      </c>
      <c r="M3546" s="46"/>
      <c r="P3546" s="16"/>
    </row>
    <row r="3547" spans="5:16" hidden="1" x14ac:dyDescent="0.25">
      <c r="E3547" s="43">
        <f>COUNTIF($O$7:O3547,FORMULARIO!$AA$2)</f>
        <v>1</v>
      </c>
      <c r="M3547" s="46"/>
      <c r="P3547" s="16"/>
    </row>
    <row r="3548" spans="5:16" hidden="1" x14ac:dyDescent="0.25">
      <c r="E3548" s="43">
        <f>COUNTIF($O$7:O3548,FORMULARIO!$AA$2)</f>
        <v>1</v>
      </c>
      <c r="M3548" s="46"/>
      <c r="P3548" s="16"/>
    </row>
    <row r="3549" spans="5:16" hidden="1" x14ac:dyDescent="0.25">
      <c r="E3549" s="43">
        <f>COUNTIF($O$7:O3549,FORMULARIO!$AA$2)</f>
        <v>1</v>
      </c>
      <c r="M3549" s="46"/>
      <c r="P3549" s="16"/>
    </row>
    <row r="3550" spans="5:16" hidden="1" x14ac:dyDescent="0.25">
      <c r="E3550" s="43">
        <f>COUNTIF($O$7:O3550,FORMULARIO!$AA$2)</f>
        <v>1</v>
      </c>
      <c r="M3550" s="46"/>
      <c r="P3550" s="16"/>
    </row>
    <row r="3551" spans="5:16" hidden="1" x14ac:dyDescent="0.25">
      <c r="E3551" s="43">
        <f>COUNTIF($O$7:O3551,FORMULARIO!$AA$2)</f>
        <v>1</v>
      </c>
      <c r="M3551" s="46"/>
      <c r="P3551" s="16"/>
    </row>
    <row r="3552" spans="5:16" hidden="1" x14ac:dyDescent="0.25">
      <c r="E3552" s="43">
        <f>COUNTIF($O$7:O3552,FORMULARIO!$AA$2)</f>
        <v>1</v>
      </c>
      <c r="M3552" s="46"/>
      <c r="P3552" s="16"/>
    </row>
    <row r="3553" spans="5:16" hidden="1" x14ac:dyDescent="0.25">
      <c r="E3553" s="43">
        <f>COUNTIF($O$7:O3553,FORMULARIO!$AA$2)</f>
        <v>1</v>
      </c>
      <c r="M3553" s="46"/>
      <c r="P3553" s="16"/>
    </row>
    <row r="3554" spans="5:16" hidden="1" x14ac:dyDescent="0.25">
      <c r="E3554" s="43">
        <f>COUNTIF($O$7:O3554,FORMULARIO!$AA$2)</f>
        <v>1</v>
      </c>
      <c r="M3554" s="46"/>
      <c r="P3554" s="16"/>
    </row>
    <row r="3555" spans="5:16" hidden="1" x14ac:dyDescent="0.25">
      <c r="E3555" s="43">
        <f>COUNTIF($O$7:O3555,FORMULARIO!$AA$2)</f>
        <v>1</v>
      </c>
      <c r="M3555" s="46"/>
      <c r="P3555" s="16"/>
    </row>
    <row r="3556" spans="5:16" hidden="1" x14ac:dyDescent="0.25">
      <c r="E3556" s="43">
        <f>COUNTIF($O$7:O3556,FORMULARIO!$AA$2)</f>
        <v>1</v>
      </c>
      <c r="M3556" s="46"/>
      <c r="P3556" s="16"/>
    </row>
    <row r="3557" spans="5:16" hidden="1" x14ac:dyDescent="0.25">
      <c r="E3557" s="43">
        <f>COUNTIF($O$7:O3557,FORMULARIO!$AA$2)</f>
        <v>1</v>
      </c>
      <c r="M3557" s="46"/>
      <c r="P3557" s="16"/>
    </row>
    <row r="3558" spans="5:16" hidden="1" x14ac:dyDescent="0.25">
      <c r="E3558" s="43">
        <f>COUNTIF($O$7:O3558,FORMULARIO!$AA$2)</f>
        <v>1</v>
      </c>
      <c r="M3558" s="46"/>
      <c r="P3558" s="16"/>
    </row>
    <row r="3559" spans="5:16" hidden="1" x14ac:dyDescent="0.25">
      <c r="E3559" s="43">
        <f>COUNTIF($O$7:O3559,FORMULARIO!$AA$2)</f>
        <v>1</v>
      </c>
      <c r="M3559" s="46"/>
      <c r="P3559" s="16"/>
    </row>
    <row r="3560" spans="5:16" hidden="1" x14ac:dyDescent="0.25">
      <c r="E3560" s="43">
        <f>COUNTIF($O$7:O3560,FORMULARIO!$AA$2)</f>
        <v>1</v>
      </c>
      <c r="M3560" s="46"/>
      <c r="P3560" s="16"/>
    </row>
    <row r="3561" spans="5:16" hidden="1" x14ac:dyDescent="0.25">
      <c r="E3561" s="43">
        <f>COUNTIF($O$7:O3561,FORMULARIO!$AA$2)</f>
        <v>1</v>
      </c>
      <c r="M3561" s="46"/>
      <c r="P3561" s="16"/>
    </row>
    <row r="3562" spans="5:16" hidden="1" x14ac:dyDescent="0.25">
      <c r="E3562" s="43">
        <f>COUNTIF($O$7:O3562,FORMULARIO!$AA$2)</f>
        <v>1</v>
      </c>
      <c r="M3562" s="46"/>
      <c r="P3562" s="16"/>
    </row>
    <row r="3563" spans="5:16" hidden="1" x14ac:dyDescent="0.25">
      <c r="E3563" s="43">
        <f>COUNTIF($O$7:O3563,FORMULARIO!$AA$2)</f>
        <v>1</v>
      </c>
      <c r="M3563" s="46"/>
      <c r="P3563" s="16"/>
    </row>
    <row r="3564" spans="5:16" hidden="1" x14ac:dyDescent="0.25">
      <c r="E3564" s="43">
        <f>COUNTIF($O$7:O3564,FORMULARIO!$AA$2)</f>
        <v>1</v>
      </c>
      <c r="M3564" s="46"/>
      <c r="P3564" s="16"/>
    </row>
    <row r="3565" spans="5:16" hidden="1" x14ac:dyDescent="0.25">
      <c r="E3565" s="43">
        <f>COUNTIF($O$7:O3565,FORMULARIO!$AA$2)</f>
        <v>1</v>
      </c>
      <c r="M3565" s="46"/>
      <c r="P3565" s="16"/>
    </row>
    <row r="3566" spans="5:16" hidden="1" x14ac:dyDescent="0.25">
      <c r="E3566" s="43">
        <f>COUNTIF($O$7:O3566,FORMULARIO!$AA$2)</f>
        <v>1</v>
      </c>
      <c r="M3566" s="46"/>
      <c r="P3566" s="16"/>
    </row>
    <row r="3567" spans="5:16" hidden="1" x14ac:dyDescent="0.25">
      <c r="E3567" s="43">
        <f>COUNTIF($O$7:O3567,FORMULARIO!$AA$2)</f>
        <v>1</v>
      </c>
      <c r="M3567" s="46"/>
      <c r="P3567" s="16"/>
    </row>
    <row r="3568" spans="5:16" hidden="1" x14ac:dyDescent="0.25">
      <c r="E3568" s="43">
        <f>COUNTIF($O$7:O3568,FORMULARIO!$AA$2)</f>
        <v>1</v>
      </c>
      <c r="M3568" s="46"/>
      <c r="P3568" s="16"/>
    </row>
    <row r="3569" spans="5:16" hidden="1" x14ac:dyDescent="0.25">
      <c r="E3569" s="43">
        <f>COUNTIF($O$7:O3569,FORMULARIO!$AA$2)</f>
        <v>1</v>
      </c>
      <c r="M3569" s="46"/>
      <c r="P3569" s="16"/>
    </row>
    <row r="3570" spans="5:16" hidden="1" x14ac:dyDescent="0.25">
      <c r="E3570" s="43">
        <f>COUNTIF($O$7:O3570,FORMULARIO!$AA$2)</f>
        <v>1</v>
      </c>
      <c r="M3570" s="46"/>
      <c r="P3570" s="16"/>
    </row>
    <row r="3571" spans="5:16" hidden="1" x14ac:dyDescent="0.25">
      <c r="E3571" s="43">
        <f>COUNTIF($O$7:O3571,FORMULARIO!$AA$2)</f>
        <v>1</v>
      </c>
      <c r="M3571" s="46"/>
      <c r="P3571" s="16"/>
    </row>
    <row r="3572" spans="5:16" hidden="1" x14ac:dyDescent="0.25">
      <c r="E3572" s="43">
        <f>COUNTIF($O$7:O3572,FORMULARIO!$AA$2)</f>
        <v>1</v>
      </c>
      <c r="M3572" s="46"/>
      <c r="P3572" s="16"/>
    </row>
    <row r="3573" spans="5:16" hidden="1" x14ac:dyDescent="0.25">
      <c r="E3573" s="43">
        <f>COUNTIF($O$7:O3573,FORMULARIO!$AA$2)</f>
        <v>1</v>
      </c>
      <c r="M3573" s="46"/>
      <c r="P3573" s="16"/>
    </row>
    <row r="3574" spans="5:16" hidden="1" x14ac:dyDescent="0.25">
      <c r="E3574" s="43">
        <f>COUNTIF($O$7:O3574,FORMULARIO!$AA$2)</f>
        <v>1</v>
      </c>
      <c r="M3574" s="46"/>
      <c r="P3574" s="16"/>
    </row>
    <row r="3575" spans="5:16" hidden="1" x14ac:dyDescent="0.25">
      <c r="E3575" s="43">
        <f>COUNTIF($O$7:O3575,FORMULARIO!$AA$2)</f>
        <v>1</v>
      </c>
      <c r="M3575" s="46"/>
      <c r="P3575" s="16"/>
    </row>
    <row r="3576" spans="5:16" hidden="1" x14ac:dyDescent="0.25">
      <c r="E3576" s="43">
        <f>COUNTIF($O$7:O3576,FORMULARIO!$AA$2)</f>
        <v>1</v>
      </c>
      <c r="M3576" s="46"/>
      <c r="P3576" s="16"/>
    </row>
    <row r="3577" spans="5:16" hidden="1" x14ac:dyDescent="0.25">
      <c r="E3577" s="43">
        <f>COUNTIF($O$7:O3577,FORMULARIO!$AA$2)</f>
        <v>1</v>
      </c>
      <c r="M3577" s="46"/>
      <c r="P3577" s="16"/>
    </row>
    <row r="3578" spans="5:16" hidden="1" x14ac:dyDescent="0.25">
      <c r="E3578" s="43">
        <f>COUNTIF($O$7:O3578,FORMULARIO!$AA$2)</f>
        <v>1</v>
      </c>
      <c r="M3578" s="46"/>
      <c r="P3578" s="16"/>
    </row>
    <row r="3579" spans="5:16" hidden="1" x14ac:dyDescent="0.25">
      <c r="E3579" s="43">
        <f>COUNTIF($O$7:O3579,FORMULARIO!$AA$2)</f>
        <v>1</v>
      </c>
      <c r="M3579" s="46"/>
      <c r="P3579" s="16"/>
    </row>
    <row r="3580" spans="5:16" hidden="1" x14ac:dyDescent="0.25">
      <c r="E3580" s="43">
        <f>COUNTIF($O$7:O3580,FORMULARIO!$AA$2)</f>
        <v>1</v>
      </c>
      <c r="M3580" s="46"/>
      <c r="P3580" s="16"/>
    </row>
    <row r="3581" spans="5:16" hidden="1" x14ac:dyDescent="0.25">
      <c r="E3581" s="43">
        <f>COUNTIF($O$7:O3581,FORMULARIO!$AA$2)</f>
        <v>1</v>
      </c>
      <c r="M3581" s="46"/>
      <c r="P3581" s="16"/>
    </row>
    <row r="3582" spans="5:16" hidden="1" x14ac:dyDescent="0.25">
      <c r="E3582" s="43">
        <f>COUNTIF($O$7:O3582,FORMULARIO!$AA$2)</f>
        <v>1</v>
      </c>
      <c r="M3582" s="46"/>
      <c r="P3582" s="16"/>
    </row>
    <row r="3583" spans="5:16" hidden="1" x14ac:dyDescent="0.25">
      <c r="E3583" s="43">
        <f>COUNTIF($O$7:O3583,FORMULARIO!$AA$2)</f>
        <v>1</v>
      </c>
      <c r="M3583" s="46"/>
      <c r="P3583" s="16"/>
    </row>
    <row r="3584" spans="5:16" hidden="1" x14ac:dyDescent="0.25">
      <c r="E3584" s="43">
        <f>COUNTIF($O$7:O3584,FORMULARIO!$AA$2)</f>
        <v>1</v>
      </c>
      <c r="M3584" s="46"/>
      <c r="P3584" s="16"/>
    </row>
    <row r="3585" spans="5:16" hidden="1" x14ac:dyDescent="0.25">
      <c r="E3585" s="43">
        <f>COUNTIF($O$7:O3585,FORMULARIO!$AA$2)</f>
        <v>1</v>
      </c>
      <c r="M3585" s="46"/>
      <c r="P3585" s="16"/>
    </row>
    <row r="3586" spans="5:16" hidden="1" x14ac:dyDescent="0.25">
      <c r="E3586" s="43">
        <f>COUNTIF($O$7:O3586,FORMULARIO!$AA$2)</f>
        <v>1</v>
      </c>
      <c r="M3586" s="46"/>
      <c r="P3586" s="16"/>
    </row>
    <row r="3587" spans="5:16" hidden="1" x14ac:dyDescent="0.25">
      <c r="E3587" s="43">
        <f>COUNTIF($O$7:O3587,FORMULARIO!$AA$2)</f>
        <v>1</v>
      </c>
      <c r="M3587" s="46"/>
      <c r="P3587" s="16"/>
    </row>
    <row r="3588" spans="5:16" hidden="1" x14ac:dyDescent="0.25">
      <c r="E3588" s="43">
        <f>COUNTIF($O$7:O3588,FORMULARIO!$AA$2)</f>
        <v>1</v>
      </c>
      <c r="M3588" s="46"/>
      <c r="P3588" s="16"/>
    </row>
    <row r="3589" spans="5:16" hidden="1" x14ac:dyDescent="0.25">
      <c r="E3589" s="43">
        <f>COUNTIF($O$7:O3589,FORMULARIO!$AA$2)</f>
        <v>1</v>
      </c>
      <c r="M3589" s="46"/>
      <c r="P3589" s="16"/>
    </row>
    <row r="3590" spans="5:16" hidden="1" x14ac:dyDescent="0.25">
      <c r="E3590" s="43">
        <f>COUNTIF($O$7:O3590,FORMULARIO!$AA$2)</f>
        <v>1</v>
      </c>
      <c r="M3590" s="46"/>
      <c r="P3590" s="16"/>
    </row>
    <row r="3591" spans="5:16" hidden="1" x14ac:dyDescent="0.25">
      <c r="E3591" s="43">
        <f>COUNTIF($O$7:O3591,FORMULARIO!$AA$2)</f>
        <v>1</v>
      </c>
      <c r="M3591" s="46"/>
      <c r="P3591" s="16"/>
    </row>
    <row r="3592" spans="5:16" hidden="1" x14ac:dyDescent="0.25">
      <c r="E3592" s="43">
        <f>COUNTIF($O$7:O3592,FORMULARIO!$AA$2)</f>
        <v>1</v>
      </c>
      <c r="M3592" s="46"/>
      <c r="P3592" s="16"/>
    </row>
    <row r="3593" spans="5:16" hidden="1" x14ac:dyDescent="0.25">
      <c r="E3593" s="43">
        <f>COUNTIF($O$7:O3593,FORMULARIO!$AA$2)</f>
        <v>1</v>
      </c>
      <c r="M3593" s="46"/>
      <c r="P3593" s="16"/>
    </row>
    <row r="3594" spans="5:16" hidden="1" x14ac:dyDescent="0.25">
      <c r="E3594" s="43">
        <f>COUNTIF($O$7:O3594,FORMULARIO!$AA$2)</f>
        <v>1</v>
      </c>
      <c r="M3594" s="46"/>
      <c r="P3594" s="16"/>
    </row>
    <row r="3595" spans="5:16" hidden="1" x14ac:dyDescent="0.25">
      <c r="E3595" s="43">
        <f>COUNTIF($O$7:O3595,FORMULARIO!$AA$2)</f>
        <v>1</v>
      </c>
      <c r="M3595" s="46"/>
      <c r="P3595" s="16"/>
    </row>
    <row r="3596" spans="5:16" hidden="1" x14ac:dyDescent="0.25">
      <c r="E3596" s="43">
        <f>COUNTIF($O$7:O3596,FORMULARIO!$AA$2)</f>
        <v>1</v>
      </c>
      <c r="M3596" s="46"/>
      <c r="P3596" s="16"/>
    </row>
    <row r="3597" spans="5:16" hidden="1" x14ac:dyDescent="0.25">
      <c r="E3597" s="43">
        <f>COUNTIF($O$7:O3597,FORMULARIO!$AA$2)</f>
        <v>1</v>
      </c>
      <c r="M3597" s="46"/>
      <c r="P3597" s="16"/>
    </row>
    <row r="3598" spans="5:16" hidden="1" x14ac:dyDescent="0.25">
      <c r="E3598" s="43">
        <f>COUNTIF($O$7:O3598,FORMULARIO!$AA$2)</f>
        <v>1</v>
      </c>
      <c r="M3598" s="46"/>
      <c r="P3598" s="16"/>
    </row>
    <row r="3599" spans="5:16" hidden="1" x14ac:dyDescent="0.25">
      <c r="E3599" s="43">
        <f>COUNTIF($O$7:O3599,FORMULARIO!$AA$2)</f>
        <v>1</v>
      </c>
      <c r="M3599" s="46"/>
      <c r="P3599" s="16"/>
    </row>
    <row r="3600" spans="5:16" hidden="1" x14ac:dyDescent="0.25">
      <c r="E3600" s="43">
        <f>COUNTIF($O$7:O3600,FORMULARIO!$AA$2)</f>
        <v>1</v>
      </c>
      <c r="M3600" s="46"/>
      <c r="P3600" s="16"/>
    </row>
    <row r="3601" spans="5:16" hidden="1" x14ac:dyDescent="0.25">
      <c r="E3601" s="43">
        <f>COUNTIF($O$7:O3601,FORMULARIO!$AA$2)</f>
        <v>1</v>
      </c>
      <c r="M3601" s="46"/>
      <c r="P3601" s="16"/>
    </row>
    <row r="3602" spans="5:16" hidden="1" x14ac:dyDescent="0.25">
      <c r="E3602" s="43">
        <f>COUNTIF($O$7:O3602,FORMULARIO!$AA$2)</f>
        <v>1</v>
      </c>
      <c r="M3602" s="46"/>
      <c r="P3602" s="16"/>
    </row>
    <row r="3603" spans="5:16" hidden="1" x14ac:dyDescent="0.25">
      <c r="E3603" s="43">
        <f>COUNTIF($O$7:O3603,FORMULARIO!$AA$2)</f>
        <v>1</v>
      </c>
      <c r="M3603" s="46"/>
      <c r="P3603" s="16"/>
    </row>
    <row r="3604" spans="5:16" hidden="1" x14ac:dyDescent="0.25">
      <c r="E3604" s="43">
        <f>COUNTIF($O$7:O3604,FORMULARIO!$AA$2)</f>
        <v>1</v>
      </c>
      <c r="M3604" s="46"/>
      <c r="P3604" s="16"/>
    </row>
    <row r="3605" spans="5:16" hidden="1" x14ac:dyDescent="0.25">
      <c r="E3605" s="43">
        <f>COUNTIF($O$7:O3605,FORMULARIO!$AA$2)</f>
        <v>1</v>
      </c>
      <c r="M3605" s="46"/>
      <c r="P3605" s="16"/>
    </row>
    <row r="3606" spans="5:16" hidden="1" x14ac:dyDescent="0.25">
      <c r="E3606" s="43">
        <f>COUNTIF($O$7:O3606,FORMULARIO!$AA$2)</f>
        <v>1</v>
      </c>
      <c r="M3606" s="46"/>
      <c r="P3606" s="16"/>
    </row>
    <row r="3607" spans="5:16" hidden="1" x14ac:dyDescent="0.25">
      <c r="E3607" s="43">
        <f>COUNTIF($O$7:O3607,FORMULARIO!$AA$2)</f>
        <v>1</v>
      </c>
      <c r="M3607" s="46"/>
      <c r="P3607" s="16"/>
    </row>
    <row r="3608" spans="5:16" hidden="1" x14ac:dyDescent="0.25">
      <c r="E3608" s="43">
        <f>COUNTIF($O$7:O3608,FORMULARIO!$AA$2)</f>
        <v>1</v>
      </c>
      <c r="M3608" s="46"/>
      <c r="P3608" s="16"/>
    </row>
    <row r="3609" spans="5:16" hidden="1" x14ac:dyDescent="0.25">
      <c r="E3609" s="43">
        <f>COUNTIF($O$7:O3609,FORMULARIO!$AA$2)</f>
        <v>1</v>
      </c>
      <c r="M3609" s="46"/>
      <c r="P3609" s="16"/>
    </row>
    <row r="3610" spans="5:16" hidden="1" x14ac:dyDescent="0.25">
      <c r="E3610" s="43">
        <f>COUNTIF($O$7:O3610,FORMULARIO!$AA$2)</f>
        <v>1</v>
      </c>
      <c r="M3610" s="46"/>
      <c r="P3610" s="16"/>
    </row>
    <row r="3611" spans="5:16" hidden="1" x14ac:dyDescent="0.25">
      <c r="E3611" s="43">
        <f>COUNTIF($O$7:O3611,FORMULARIO!$AA$2)</f>
        <v>1</v>
      </c>
      <c r="M3611" s="46"/>
      <c r="P3611" s="16"/>
    </row>
    <row r="3612" spans="5:16" hidden="1" x14ac:dyDescent="0.25">
      <c r="E3612" s="43">
        <f>COUNTIF($O$7:O3612,FORMULARIO!$AA$2)</f>
        <v>1</v>
      </c>
      <c r="M3612" s="46"/>
      <c r="P3612" s="16"/>
    </row>
    <row r="3613" spans="5:16" hidden="1" x14ac:dyDescent="0.25">
      <c r="E3613" s="43">
        <f>COUNTIF($O$7:O3613,FORMULARIO!$AA$2)</f>
        <v>1</v>
      </c>
      <c r="M3613" s="46"/>
      <c r="P3613" s="16"/>
    </row>
    <row r="3614" spans="5:16" hidden="1" x14ac:dyDescent="0.25">
      <c r="E3614" s="43">
        <f>COUNTIF($O$7:O3614,FORMULARIO!$AA$2)</f>
        <v>1</v>
      </c>
      <c r="M3614" s="46"/>
      <c r="P3614" s="16"/>
    </row>
    <row r="3615" spans="5:16" hidden="1" x14ac:dyDescent="0.25">
      <c r="E3615" s="43">
        <f>COUNTIF($O$7:O3615,FORMULARIO!$AA$2)</f>
        <v>1</v>
      </c>
      <c r="M3615" s="46"/>
      <c r="P3615" s="16"/>
    </row>
    <row r="3616" spans="5:16" hidden="1" x14ac:dyDescent="0.25">
      <c r="E3616" s="43">
        <f>COUNTIF($O$7:O3616,FORMULARIO!$AA$2)</f>
        <v>1</v>
      </c>
      <c r="M3616" s="46"/>
      <c r="P3616" s="16"/>
    </row>
    <row r="3617" spans="5:16" hidden="1" x14ac:dyDescent="0.25">
      <c r="E3617" s="43">
        <f>COUNTIF($O$7:O3617,FORMULARIO!$AA$2)</f>
        <v>1</v>
      </c>
      <c r="M3617" s="46"/>
      <c r="P3617" s="16"/>
    </row>
    <row r="3618" spans="5:16" hidden="1" x14ac:dyDescent="0.25">
      <c r="E3618" s="43">
        <f>COUNTIF($O$7:O3618,FORMULARIO!$AA$2)</f>
        <v>1</v>
      </c>
      <c r="M3618" s="46"/>
      <c r="P3618" s="16"/>
    </row>
    <row r="3619" spans="5:16" hidden="1" x14ac:dyDescent="0.25">
      <c r="E3619" s="43">
        <f>COUNTIF($O$7:O3619,FORMULARIO!$AA$2)</f>
        <v>1</v>
      </c>
      <c r="M3619" s="46"/>
      <c r="P3619" s="16"/>
    </row>
    <row r="3620" spans="5:16" hidden="1" x14ac:dyDescent="0.25">
      <c r="E3620" s="43">
        <f>COUNTIF($O$7:O3620,FORMULARIO!$AA$2)</f>
        <v>1</v>
      </c>
      <c r="M3620" s="46"/>
      <c r="P3620" s="16"/>
    </row>
    <row r="3621" spans="5:16" hidden="1" x14ac:dyDescent="0.25">
      <c r="E3621" s="43">
        <f>COUNTIF($O$7:O3621,FORMULARIO!$AA$2)</f>
        <v>1</v>
      </c>
      <c r="M3621" s="46"/>
      <c r="P3621" s="16"/>
    </row>
    <row r="3622" spans="5:16" hidden="1" x14ac:dyDescent="0.25">
      <c r="E3622" s="43">
        <f>COUNTIF($O$7:O3622,FORMULARIO!$AA$2)</f>
        <v>1</v>
      </c>
      <c r="M3622" s="46"/>
      <c r="P3622" s="16"/>
    </row>
    <row r="3623" spans="5:16" hidden="1" x14ac:dyDescent="0.25">
      <c r="E3623" s="43">
        <f>COUNTIF($O$7:O3623,FORMULARIO!$AA$2)</f>
        <v>1</v>
      </c>
      <c r="M3623" s="46"/>
      <c r="P3623" s="16"/>
    </row>
    <row r="3624" spans="5:16" hidden="1" x14ac:dyDescent="0.25">
      <c r="E3624" s="43">
        <f>COUNTIF($O$7:O3624,FORMULARIO!$AA$2)</f>
        <v>1</v>
      </c>
      <c r="M3624" s="46"/>
      <c r="P3624" s="16"/>
    </row>
    <row r="3625" spans="5:16" hidden="1" x14ac:dyDescent="0.25">
      <c r="E3625" s="43">
        <f>COUNTIF($O$7:O3625,FORMULARIO!$AA$2)</f>
        <v>1</v>
      </c>
      <c r="M3625" s="46"/>
      <c r="P3625" s="16"/>
    </row>
    <row r="3626" spans="5:16" hidden="1" x14ac:dyDescent="0.25">
      <c r="E3626" s="43">
        <f>COUNTIF($O$7:O3626,FORMULARIO!$AA$2)</f>
        <v>1</v>
      </c>
      <c r="M3626" s="46"/>
      <c r="P3626" s="16"/>
    </row>
    <row r="3627" spans="5:16" hidden="1" x14ac:dyDescent="0.25">
      <c r="E3627" s="43">
        <f>COUNTIF($O$7:O3627,FORMULARIO!$AA$2)</f>
        <v>1</v>
      </c>
      <c r="M3627" s="46"/>
      <c r="P3627" s="16"/>
    </row>
    <row r="3628" spans="5:16" hidden="1" x14ac:dyDescent="0.25">
      <c r="E3628" s="43">
        <f>COUNTIF($O$7:O3628,FORMULARIO!$AA$2)</f>
        <v>1</v>
      </c>
      <c r="M3628" s="46"/>
      <c r="P3628" s="16"/>
    </row>
    <row r="3629" spans="5:16" hidden="1" x14ac:dyDescent="0.25">
      <c r="E3629" s="43">
        <f>COUNTIF($O$7:O3629,FORMULARIO!$AA$2)</f>
        <v>1</v>
      </c>
      <c r="M3629" s="46"/>
      <c r="P3629" s="16"/>
    </row>
    <row r="3630" spans="5:16" hidden="1" x14ac:dyDescent="0.25">
      <c r="E3630" s="43">
        <f>COUNTIF($O$7:O3630,FORMULARIO!$AA$2)</f>
        <v>1</v>
      </c>
      <c r="M3630" s="46"/>
      <c r="P3630" s="16"/>
    </row>
    <row r="3631" spans="5:16" hidden="1" x14ac:dyDescent="0.25">
      <c r="E3631" s="43">
        <f>COUNTIF($O$7:O3631,FORMULARIO!$AA$2)</f>
        <v>1</v>
      </c>
      <c r="M3631" s="46"/>
      <c r="P3631" s="16"/>
    </row>
    <row r="3632" spans="5:16" hidden="1" x14ac:dyDescent="0.25">
      <c r="E3632" s="43">
        <f>COUNTIF($O$7:O3632,FORMULARIO!$AA$2)</f>
        <v>1</v>
      </c>
      <c r="M3632" s="46"/>
      <c r="P3632" s="16"/>
    </row>
    <row r="3633" spans="5:16" hidden="1" x14ac:dyDescent="0.25">
      <c r="E3633" s="43">
        <f>COUNTIF($O$7:O3633,FORMULARIO!$AA$2)</f>
        <v>1</v>
      </c>
      <c r="M3633" s="46"/>
      <c r="P3633" s="16"/>
    </row>
    <row r="3634" spans="5:16" hidden="1" x14ac:dyDescent="0.25">
      <c r="E3634" s="43">
        <f>COUNTIF($O$7:O3634,FORMULARIO!$AA$2)</f>
        <v>1</v>
      </c>
      <c r="M3634" s="46"/>
      <c r="P3634" s="16"/>
    </row>
    <row r="3635" spans="5:16" hidden="1" x14ac:dyDescent="0.25">
      <c r="E3635" s="43">
        <f>COUNTIF($O$7:O3635,FORMULARIO!$AA$2)</f>
        <v>1</v>
      </c>
      <c r="M3635" s="46"/>
      <c r="P3635" s="16"/>
    </row>
    <row r="3636" spans="5:16" hidden="1" x14ac:dyDescent="0.25">
      <c r="E3636" s="43">
        <f>COUNTIF($O$7:O3636,FORMULARIO!$AA$2)</f>
        <v>1</v>
      </c>
      <c r="M3636" s="46"/>
      <c r="P3636" s="16"/>
    </row>
    <row r="3637" spans="5:16" hidden="1" x14ac:dyDescent="0.25">
      <c r="E3637" s="43">
        <f>COUNTIF($O$7:O3637,FORMULARIO!$AA$2)</f>
        <v>1</v>
      </c>
      <c r="M3637" s="46"/>
      <c r="P3637" s="16"/>
    </row>
    <row r="3638" spans="5:16" hidden="1" x14ac:dyDescent="0.25">
      <c r="E3638" s="43">
        <f>COUNTIF($O$7:O3638,FORMULARIO!$AA$2)</f>
        <v>1</v>
      </c>
      <c r="M3638" s="46"/>
      <c r="P3638" s="16"/>
    </row>
    <row r="3639" spans="5:16" hidden="1" x14ac:dyDescent="0.25">
      <c r="E3639" s="43">
        <f>COUNTIF($O$7:O3639,FORMULARIO!$AA$2)</f>
        <v>1</v>
      </c>
      <c r="M3639" s="46"/>
      <c r="P3639" s="16"/>
    </row>
    <row r="3640" spans="5:16" hidden="1" x14ac:dyDescent="0.25">
      <c r="E3640" s="43">
        <f>COUNTIF($O$7:O3640,FORMULARIO!$AA$2)</f>
        <v>1</v>
      </c>
      <c r="M3640" s="46"/>
      <c r="P3640" s="16"/>
    </row>
    <row r="3641" spans="5:16" hidden="1" x14ac:dyDescent="0.25">
      <c r="E3641" s="43">
        <f>COUNTIF($O$7:O3641,FORMULARIO!$AA$2)</f>
        <v>1</v>
      </c>
      <c r="M3641" s="46"/>
      <c r="P3641" s="16"/>
    </row>
    <row r="3642" spans="5:16" hidden="1" x14ac:dyDescent="0.25">
      <c r="E3642" s="43">
        <f>COUNTIF($O$7:O3642,FORMULARIO!$AA$2)</f>
        <v>1</v>
      </c>
      <c r="M3642" s="46"/>
      <c r="P3642" s="16"/>
    </row>
    <row r="3643" spans="5:16" hidden="1" x14ac:dyDescent="0.25">
      <c r="E3643" s="43">
        <f>COUNTIF($O$7:O3643,FORMULARIO!$AA$2)</f>
        <v>1</v>
      </c>
      <c r="M3643" s="46"/>
      <c r="P3643" s="16"/>
    </row>
    <row r="3644" spans="5:16" hidden="1" x14ac:dyDescent="0.25">
      <c r="E3644" s="43">
        <f>COUNTIF($O$7:O3644,FORMULARIO!$AA$2)</f>
        <v>1</v>
      </c>
      <c r="M3644" s="46"/>
      <c r="P3644" s="16"/>
    </row>
    <row r="3645" spans="5:16" hidden="1" x14ac:dyDescent="0.25">
      <c r="E3645" s="43">
        <f>COUNTIF($O$7:O3645,FORMULARIO!$AA$2)</f>
        <v>1</v>
      </c>
      <c r="M3645" s="46"/>
      <c r="P3645" s="16"/>
    </row>
    <row r="3646" spans="5:16" hidden="1" x14ac:dyDescent="0.25">
      <c r="E3646" s="43">
        <f>COUNTIF($O$7:O3646,FORMULARIO!$AA$2)</f>
        <v>1</v>
      </c>
      <c r="M3646" s="46"/>
      <c r="P3646" s="16"/>
    </row>
    <row r="3647" spans="5:16" hidden="1" x14ac:dyDescent="0.25">
      <c r="E3647" s="43">
        <f>COUNTIF($O$7:O3647,FORMULARIO!$AA$2)</f>
        <v>1</v>
      </c>
      <c r="M3647" s="46"/>
      <c r="P3647" s="16"/>
    </row>
    <row r="3648" spans="5:16" hidden="1" x14ac:dyDescent="0.25">
      <c r="E3648" s="43">
        <f>COUNTIF($O$7:O3648,FORMULARIO!$AA$2)</f>
        <v>1</v>
      </c>
      <c r="M3648" s="46"/>
      <c r="P3648" s="16"/>
    </row>
    <row r="3649" spans="5:16" hidden="1" x14ac:dyDescent="0.25">
      <c r="E3649" s="43">
        <f>COUNTIF($O$7:O3649,FORMULARIO!$AA$2)</f>
        <v>1</v>
      </c>
      <c r="M3649" s="46"/>
      <c r="P3649" s="16"/>
    </row>
    <row r="3650" spans="5:16" hidden="1" x14ac:dyDescent="0.25">
      <c r="E3650" s="43">
        <f>COUNTIF($O$7:O3650,FORMULARIO!$AA$2)</f>
        <v>1</v>
      </c>
      <c r="M3650" s="46"/>
      <c r="P3650" s="16"/>
    </row>
    <row r="3651" spans="5:16" hidden="1" x14ac:dyDescent="0.25">
      <c r="E3651" s="43">
        <f>COUNTIF($O$7:O3651,FORMULARIO!$AA$2)</f>
        <v>1</v>
      </c>
      <c r="M3651" s="46"/>
      <c r="P3651" s="16"/>
    </row>
    <row r="3652" spans="5:16" hidden="1" x14ac:dyDescent="0.25">
      <c r="E3652" s="43">
        <f>COUNTIF($O$7:O3652,FORMULARIO!$AA$2)</f>
        <v>1</v>
      </c>
      <c r="M3652" s="46"/>
      <c r="P3652" s="16"/>
    </row>
    <row r="3653" spans="5:16" hidden="1" x14ac:dyDescent="0.25">
      <c r="E3653" s="43">
        <f>COUNTIF($O$7:O3653,FORMULARIO!$AA$2)</f>
        <v>1</v>
      </c>
      <c r="M3653" s="46"/>
      <c r="P3653" s="16"/>
    </row>
    <row r="3654" spans="5:16" hidden="1" x14ac:dyDescent="0.25">
      <c r="E3654" s="43">
        <f>COUNTIF($O$7:O3654,FORMULARIO!$AA$2)</f>
        <v>1</v>
      </c>
      <c r="M3654" s="46"/>
      <c r="P3654" s="16"/>
    </row>
    <row r="3655" spans="5:16" hidden="1" x14ac:dyDescent="0.25">
      <c r="E3655" s="43">
        <f>COUNTIF($O$7:O3655,FORMULARIO!$AA$2)</f>
        <v>1</v>
      </c>
      <c r="M3655" s="46"/>
      <c r="P3655" s="16"/>
    </row>
    <row r="3656" spans="5:16" hidden="1" x14ac:dyDescent="0.25">
      <c r="E3656" s="43">
        <f>COUNTIF($O$7:O3656,FORMULARIO!$AA$2)</f>
        <v>1</v>
      </c>
      <c r="M3656" s="46"/>
      <c r="P3656" s="16"/>
    </row>
    <row r="3657" spans="5:16" hidden="1" x14ac:dyDescent="0.25">
      <c r="E3657" s="43">
        <f>COUNTIF($O$7:O3657,FORMULARIO!$AA$2)</f>
        <v>1</v>
      </c>
      <c r="M3657" s="46"/>
      <c r="P3657" s="16"/>
    </row>
    <row r="3658" spans="5:16" hidden="1" x14ac:dyDescent="0.25">
      <c r="E3658" s="43">
        <f>COUNTIF($O$7:O3658,FORMULARIO!$AA$2)</f>
        <v>1</v>
      </c>
      <c r="M3658" s="46"/>
      <c r="P3658" s="16"/>
    </row>
    <row r="3659" spans="5:16" hidden="1" x14ac:dyDescent="0.25">
      <c r="E3659" s="43">
        <f>COUNTIF($O$7:O3659,FORMULARIO!$AA$2)</f>
        <v>1</v>
      </c>
      <c r="M3659" s="46"/>
      <c r="P3659" s="16"/>
    </row>
    <row r="3660" spans="5:16" hidden="1" x14ac:dyDescent="0.25">
      <c r="E3660" s="43">
        <f>COUNTIF($O$7:O3660,FORMULARIO!$AA$2)</f>
        <v>1</v>
      </c>
      <c r="M3660" s="46"/>
      <c r="P3660" s="16"/>
    </row>
    <row r="3661" spans="5:16" hidden="1" x14ac:dyDescent="0.25">
      <c r="E3661" s="43">
        <f>COUNTIF($O$7:O3661,FORMULARIO!$AA$2)</f>
        <v>1</v>
      </c>
      <c r="M3661" s="46"/>
      <c r="P3661" s="16"/>
    </row>
    <row r="3662" spans="5:16" hidden="1" x14ac:dyDescent="0.25">
      <c r="E3662" s="43">
        <f>COUNTIF($O$7:O3662,FORMULARIO!$AA$2)</f>
        <v>1</v>
      </c>
      <c r="M3662" s="46"/>
      <c r="P3662" s="16"/>
    </row>
    <row r="3663" spans="5:16" hidden="1" x14ac:dyDescent="0.25">
      <c r="E3663" s="43">
        <f>COUNTIF($O$7:O3663,FORMULARIO!$AA$2)</f>
        <v>1</v>
      </c>
      <c r="M3663" s="46"/>
      <c r="P3663" s="16"/>
    </row>
    <row r="3664" spans="5:16" hidden="1" x14ac:dyDescent="0.25">
      <c r="E3664" s="43">
        <f>COUNTIF($O$7:O3664,FORMULARIO!$AA$2)</f>
        <v>1</v>
      </c>
      <c r="M3664" s="46"/>
      <c r="P3664" s="16"/>
    </row>
    <row r="3665" spans="5:16" hidden="1" x14ac:dyDescent="0.25">
      <c r="E3665" s="43">
        <f>COUNTIF($O$7:O3665,FORMULARIO!$AA$2)</f>
        <v>1</v>
      </c>
      <c r="M3665" s="46"/>
      <c r="P3665" s="16"/>
    </row>
    <row r="3666" spans="5:16" hidden="1" x14ac:dyDescent="0.25">
      <c r="E3666" s="43">
        <f>COUNTIF($O$7:O3666,FORMULARIO!$AA$2)</f>
        <v>1</v>
      </c>
      <c r="M3666" s="46"/>
      <c r="P3666" s="16"/>
    </row>
    <row r="3667" spans="5:16" hidden="1" x14ac:dyDescent="0.25">
      <c r="E3667" s="43">
        <f>COUNTIF($O$7:O3667,FORMULARIO!$AA$2)</f>
        <v>1</v>
      </c>
      <c r="M3667" s="46"/>
      <c r="P3667" s="16"/>
    </row>
    <row r="3668" spans="5:16" hidden="1" x14ac:dyDescent="0.25">
      <c r="E3668" s="43">
        <f>COUNTIF($O$7:O3668,FORMULARIO!$AA$2)</f>
        <v>1</v>
      </c>
      <c r="M3668" s="46"/>
      <c r="P3668" s="16"/>
    </row>
    <row r="3669" spans="5:16" hidden="1" x14ac:dyDescent="0.25">
      <c r="E3669" s="43">
        <f>COUNTIF($O$7:O3669,FORMULARIO!$AA$2)</f>
        <v>1</v>
      </c>
      <c r="M3669" s="46"/>
      <c r="P3669" s="16"/>
    </row>
    <row r="3670" spans="5:16" hidden="1" x14ac:dyDescent="0.25">
      <c r="E3670" s="43">
        <f>COUNTIF($O$7:O3670,FORMULARIO!$AA$2)</f>
        <v>1</v>
      </c>
      <c r="M3670" s="46"/>
      <c r="P3670" s="16"/>
    </row>
    <row r="3671" spans="5:16" hidden="1" x14ac:dyDescent="0.25">
      <c r="E3671" s="43">
        <f>COUNTIF($O$7:O3671,FORMULARIO!$AA$2)</f>
        <v>1</v>
      </c>
      <c r="M3671" s="46"/>
      <c r="P3671" s="16"/>
    </row>
    <row r="3672" spans="5:16" hidden="1" x14ac:dyDescent="0.25">
      <c r="E3672" s="43">
        <f>COUNTIF($O$7:O3672,FORMULARIO!$AA$2)</f>
        <v>1</v>
      </c>
      <c r="M3672" s="46"/>
      <c r="P3672" s="16"/>
    </row>
    <row r="3673" spans="5:16" hidden="1" x14ac:dyDescent="0.25">
      <c r="E3673" s="43">
        <f>COUNTIF($O$7:O3673,FORMULARIO!$AA$2)</f>
        <v>1</v>
      </c>
      <c r="M3673" s="46"/>
      <c r="P3673" s="16"/>
    </row>
    <row r="3674" spans="5:16" hidden="1" x14ac:dyDescent="0.25">
      <c r="E3674" s="43">
        <f>COUNTIF($O$7:O3674,FORMULARIO!$AA$2)</f>
        <v>1</v>
      </c>
      <c r="M3674" s="46"/>
      <c r="P3674" s="16"/>
    </row>
    <row r="3675" spans="5:16" hidden="1" x14ac:dyDescent="0.25">
      <c r="E3675" s="43">
        <f>COUNTIF($O$7:O3675,FORMULARIO!$AA$2)</f>
        <v>1</v>
      </c>
      <c r="M3675" s="46"/>
      <c r="P3675" s="16"/>
    </row>
    <row r="3676" spans="5:16" hidden="1" x14ac:dyDescent="0.25">
      <c r="E3676" s="43">
        <f>COUNTIF($O$7:O3676,FORMULARIO!$AA$2)</f>
        <v>1</v>
      </c>
      <c r="M3676" s="46"/>
      <c r="P3676" s="16"/>
    </row>
    <row r="3677" spans="5:16" hidden="1" x14ac:dyDescent="0.25">
      <c r="E3677" s="43">
        <f>COUNTIF($O$7:O3677,FORMULARIO!$AA$2)</f>
        <v>1</v>
      </c>
      <c r="M3677" s="46"/>
      <c r="P3677" s="16"/>
    </row>
    <row r="3678" spans="5:16" hidden="1" x14ac:dyDescent="0.25">
      <c r="E3678" s="43">
        <f>COUNTIF($O$7:O3678,FORMULARIO!$AA$2)</f>
        <v>1</v>
      </c>
      <c r="M3678" s="46"/>
      <c r="P3678" s="16"/>
    </row>
    <row r="3679" spans="5:16" hidden="1" x14ac:dyDescent="0.25">
      <c r="E3679" s="43">
        <f>COUNTIF($O$7:O3679,FORMULARIO!$AA$2)</f>
        <v>1</v>
      </c>
      <c r="M3679" s="46"/>
      <c r="P3679" s="16"/>
    </row>
    <row r="3680" spans="5:16" hidden="1" x14ac:dyDescent="0.25">
      <c r="E3680" s="43">
        <f>COUNTIF($O$7:O3680,FORMULARIO!$AA$2)</f>
        <v>1</v>
      </c>
      <c r="M3680" s="46"/>
      <c r="P3680" s="16"/>
    </row>
    <row r="3681" spans="5:16" hidden="1" x14ac:dyDescent="0.25">
      <c r="E3681" s="43">
        <f>COUNTIF($O$7:O3681,FORMULARIO!$AA$2)</f>
        <v>1</v>
      </c>
      <c r="M3681" s="46"/>
      <c r="P3681" s="16"/>
    </row>
    <row r="3682" spans="5:16" hidden="1" x14ac:dyDescent="0.25">
      <c r="E3682" s="43">
        <f>COUNTIF($O$7:O3682,FORMULARIO!$AA$2)</f>
        <v>1</v>
      </c>
      <c r="M3682" s="46"/>
      <c r="P3682" s="16"/>
    </row>
    <row r="3683" spans="5:16" hidden="1" x14ac:dyDescent="0.25">
      <c r="E3683" s="43">
        <f>COUNTIF($O$7:O3683,FORMULARIO!$AA$2)</f>
        <v>1</v>
      </c>
      <c r="M3683" s="46"/>
      <c r="P3683" s="16"/>
    </row>
    <row r="3684" spans="5:16" hidden="1" x14ac:dyDescent="0.25">
      <c r="E3684" s="43">
        <f>COUNTIF($O$7:O3684,FORMULARIO!$AA$2)</f>
        <v>1</v>
      </c>
      <c r="M3684" s="46"/>
      <c r="P3684" s="16"/>
    </row>
    <row r="3685" spans="5:16" hidden="1" x14ac:dyDescent="0.25">
      <c r="E3685" s="43">
        <f>COUNTIF($O$7:O3685,FORMULARIO!$AA$2)</f>
        <v>1</v>
      </c>
      <c r="M3685" s="46"/>
      <c r="P3685" s="16"/>
    </row>
    <row r="3686" spans="5:16" hidden="1" x14ac:dyDescent="0.25">
      <c r="E3686" s="43">
        <f>COUNTIF($O$7:O3686,FORMULARIO!$AA$2)</f>
        <v>1</v>
      </c>
      <c r="M3686" s="46"/>
      <c r="P3686" s="16"/>
    </row>
    <row r="3687" spans="5:16" hidden="1" x14ac:dyDescent="0.25">
      <c r="E3687" s="43">
        <f>COUNTIF($O$7:O3687,FORMULARIO!$AA$2)</f>
        <v>1</v>
      </c>
      <c r="M3687" s="46"/>
      <c r="P3687" s="16"/>
    </row>
    <row r="3688" spans="5:16" hidden="1" x14ac:dyDescent="0.25">
      <c r="E3688" s="43">
        <f>COUNTIF($O$7:O3688,FORMULARIO!$AA$2)</f>
        <v>1</v>
      </c>
      <c r="M3688" s="46"/>
      <c r="P3688" s="16"/>
    </row>
    <row r="3689" spans="5:16" hidden="1" x14ac:dyDescent="0.25">
      <c r="E3689" s="43">
        <f>COUNTIF($O$7:O3689,FORMULARIO!$AA$2)</f>
        <v>1</v>
      </c>
      <c r="M3689" s="46"/>
      <c r="P3689" s="16"/>
    </row>
    <row r="3690" spans="5:16" hidden="1" x14ac:dyDescent="0.25">
      <c r="E3690" s="43">
        <f>COUNTIF($O$7:O3690,FORMULARIO!$AA$2)</f>
        <v>1</v>
      </c>
      <c r="M3690" s="46"/>
      <c r="P3690" s="16"/>
    </row>
    <row r="3691" spans="5:16" hidden="1" x14ac:dyDescent="0.25">
      <c r="E3691" s="43">
        <f>COUNTIF($O$7:O3691,FORMULARIO!$AA$2)</f>
        <v>1</v>
      </c>
      <c r="M3691" s="46"/>
      <c r="P3691" s="16"/>
    </row>
    <row r="3692" spans="5:16" hidden="1" x14ac:dyDescent="0.25">
      <c r="E3692" s="43">
        <f>COUNTIF($O$7:O3692,FORMULARIO!$AA$2)</f>
        <v>1</v>
      </c>
      <c r="M3692" s="46"/>
      <c r="P3692" s="16"/>
    </row>
    <row r="3693" spans="5:16" hidden="1" x14ac:dyDescent="0.25">
      <c r="E3693" s="43">
        <f>COUNTIF($O$7:O3693,FORMULARIO!$AA$2)</f>
        <v>1</v>
      </c>
      <c r="M3693" s="46"/>
      <c r="P3693" s="16"/>
    </row>
    <row r="3694" spans="5:16" hidden="1" x14ac:dyDescent="0.25">
      <c r="E3694" s="43">
        <f>COUNTIF($O$7:O3694,FORMULARIO!$AA$2)</f>
        <v>1</v>
      </c>
      <c r="M3694" s="46"/>
      <c r="P3694" s="16"/>
    </row>
    <row r="3695" spans="5:16" hidden="1" x14ac:dyDescent="0.25">
      <c r="E3695" s="43">
        <f>COUNTIF($O$7:O3695,FORMULARIO!$AA$2)</f>
        <v>1</v>
      </c>
      <c r="M3695" s="46"/>
      <c r="P3695" s="16"/>
    </row>
    <row r="3696" spans="5:16" hidden="1" x14ac:dyDescent="0.25">
      <c r="E3696" s="43">
        <f>COUNTIF($O$7:O3696,FORMULARIO!$AA$2)</f>
        <v>1</v>
      </c>
      <c r="M3696" s="46"/>
      <c r="P3696" s="16"/>
    </row>
    <row r="3697" spans="5:16" hidden="1" x14ac:dyDescent="0.25">
      <c r="E3697" s="43">
        <f>COUNTIF($O$7:O3697,FORMULARIO!$AA$2)</f>
        <v>1</v>
      </c>
      <c r="M3697" s="46"/>
      <c r="P3697" s="16"/>
    </row>
    <row r="3698" spans="5:16" hidden="1" x14ac:dyDescent="0.25">
      <c r="E3698" s="43">
        <f>COUNTIF($O$7:O3698,FORMULARIO!$AA$2)</f>
        <v>1</v>
      </c>
      <c r="M3698" s="46"/>
      <c r="P3698" s="16"/>
    </row>
    <row r="3699" spans="5:16" hidden="1" x14ac:dyDescent="0.25">
      <c r="E3699" s="43">
        <f>COUNTIF($O$7:O3699,FORMULARIO!$AA$2)</f>
        <v>1</v>
      </c>
      <c r="M3699" s="46"/>
      <c r="P3699" s="16"/>
    </row>
    <row r="3700" spans="5:16" hidden="1" x14ac:dyDescent="0.25">
      <c r="E3700" s="43">
        <f>COUNTIF($O$7:O3700,FORMULARIO!$AA$2)</f>
        <v>1</v>
      </c>
      <c r="M3700" s="46"/>
      <c r="P3700" s="16"/>
    </row>
    <row r="3701" spans="5:16" hidden="1" x14ac:dyDescent="0.25">
      <c r="E3701" s="43">
        <f>COUNTIF($O$7:O3701,FORMULARIO!$AA$2)</f>
        <v>1</v>
      </c>
      <c r="M3701" s="46"/>
      <c r="P3701" s="16"/>
    </row>
    <row r="3702" spans="5:16" hidden="1" x14ac:dyDescent="0.25">
      <c r="E3702" s="43">
        <f>COUNTIF($O$7:O3702,FORMULARIO!$AA$2)</f>
        <v>1</v>
      </c>
      <c r="M3702" s="46"/>
      <c r="P3702" s="16"/>
    </row>
    <row r="3703" spans="5:16" hidden="1" x14ac:dyDescent="0.25">
      <c r="E3703" s="43">
        <f>COUNTIF($O$7:O3703,FORMULARIO!$AA$2)</f>
        <v>1</v>
      </c>
      <c r="M3703" s="46"/>
      <c r="P3703" s="16"/>
    </row>
    <row r="3704" spans="5:16" hidden="1" x14ac:dyDescent="0.25">
      <c r="E3704" s="43">
        <f>COUNTIF($O$7:O3704,FORMULARIO!$AA$2)</f>
        <v>1</v>
      </c>
      <c r="M3704" s="46"/>
      <c r="P3704" s="16"/>
    </row>
    <row r="3705" spans="5:16" hidden="1" x14ac:dyDescent="0.25">
      <c r="E3705" s="43">
        <f>COUNTIF($O$7:O3705,FORMULARIO!$AA$2)</f>
        <v>1</v>
      </c>
      <c r="M3705" s="46"/>
      <c r="P3705" s="16"/>
    </row>
    <row r="3706" spans="5:16" hidden="1" x14ac:dyDescent="0.25">
      <c r="E3706" s="43">
        <f>COUNTIF($O$7:O3706,FORMULARIO!$AA$2)</f>
        <v>1</v>
      </c>
      <c r="M3706" s="46"/>
      <c r="P3706" s="16"/>
    </row>
    <row r="3707" spans="5:16" hidden="1" x14ac:dyDescent="0.25">
      <c r="E3707" s="43">
        <f>COUNTIF($O$7:O3707,FORMULARIO!$AA$2)</f>
        <v>1</v>
      </c>
      <c r="M3707" s="46"/>
      <c r="P3707" s="16"/>
    </row>
    <row r="3708" spans="5:16" hidden="1" x14ac:dyDescent="0.25">
      <c r="E3708" s="43">
        <f>COUNTIF($O$7:O3708,FORMULARIO!$AA$2)</f>
        <v>1</v>
      </c>
      <c r="M3708" s="46"/>
      <c r="P3708" s="16"/>
    </row>
    <row r="3709" spans="5:16" hidden="1" x14ac:dyDescent="0.25">
      <c r="E3709" s="43">
        <f>COUNTIF($O$7:O3709,FORMULARIO!$AA$2)</f>
        <v>1</v>
      </c>
      <c r="M3709" s="46"/>
      <c r="P3709" s="16"/>
    </row>
    <row r="3710" spans="5:16" hidden="1" x14ac:dyDescent="0.25">
      <c r="E3710" s="43">
        <f>COUNTIF($O$7:O3710,FORMULARIO!$AA$2)</f>
        <v>1</v>
      </c>
      <c r="M3710" s="46"/>
      <c r="P3710" s="16"/>
    </row>
    <row r="3711" spans="5:16" hidden="1" x14ac:dyDescent="0.25">
      <c r="E3711" s="43">
        <f>COUNTIF($O$7:O3711,FORMULARIO!$AA$2)</f>
        <v>1</v>
      </c>
      <c r="M3711" s="46"/>
      <c r="P3711" s="16"/>
    </row>
    <row r="3712" spans="5:16" hidden="1" x14ac:dyDescent="0.25">
      <c r="E3712" s="43">
        <f>COUNTIF($O$7:O3712,FORMULARIO!$AA$2)</f>
        <v>1</v>
      </c>
      <c r="M3712" s="46"/>
      <c r="P3712" s="16"/>
    </row>
    <row r="3713" spans="5:16" hidden="1" x14ac:dyDescent="0.25">
      <c r="E3713" s="43">
        <f>COUNTIF($O$7:O3713,FORMULARIO!$AA$2)</f>
        <v>1</v>
      </c>
      <c r="M3713" s="46"/>
      <c r="P3713" s="16"/>
    </row>
    <row r="3714" spans="5:16" hidden="1" x14ac:dyDescent="0.25">
      <c r="E3714" s="43">
        <f>COUNTIF($O$7:O3714,FORMULARIO!$AA$2)</f>
        <v>1</v>
      </c>
      <c r="M3714" s="46"/>
      <c r="P3714" s="16"/>
    </row>
    <row r="3715" spans="5:16" hidden="1" x14ac:dyDescent="0.25">
      <c r="E3715" s="43">
        <f>COUNTIF($O$7:O3715,FORMULARIO!$AA$2)</f>
        <v>1</v>
      </c>
      <c r="M3715" s="46"/>
      <c r="P3715" s="16"/>
    </row>
    <row r="3716" spans="5:16" hidden="1" x14ac:dyDescent="0.25">
      <c r="E3716" s="43">
        <f>COUNTIF($O$7:O3716,FORMULARIO!$AA$2)</f>
        <v>1</v>
      </c>
      <c r="M3716" s="46"/>
      <c r="P3716" s="16"/>
    </row>
    <row r="3717" spans="5:16" hidden="1" x14ac:dyDescent="0.25">
      <c r="E3717" s="43">
        <f>COUNTIF($O$7:O3717,FORMULARIO!$AA$2)</f>
        <v>1</v>
      </c>
      <c r="M3717" s="46"/>
      <c r="P3717" s="16"/>
    </row>
    <row r="3718" spans="5:16" hidden="1" x14ac:dyDescent="0.25">
      <c r="E3718" s="43">
        <f>COUNTIF($O$7:O3718,FORMULARIO!$AA$2)</f>
        <v>1</v>
      </c>
      <c r="M3718" s="46"/>
      <c r="P3718" s="16"/>
    </row>
    <row r="3719" spans="5:16" hidden="1" x14ac:dyDescent="0.25">
      <c r="E3719" s="43">
        <f>COUNTIF($O$7:O3719,FORMULARIO!$AA$2)</f>
        <v>1</v>
      </c>
      <c r="M3719" s="46"/>
      <c r="P3719" s="16"/>
    </row>
    <row r="3720" spans="5:16" hidden="1" x14ac:dyDescent="0.25">
      <c r="E3720" s="43">
        <f>COUNTIF($O$7:O3720,FORMULARIO!$AA$2)</f>
        <v>1</v>
      </c>
      <c r="M3720" s="46"/>
      <c r="P3720" s="16"/>
    </row>
    <row r="3721" spans="5:16" hidden="1" x14ac:dyDescent="0.25">
      <c r="E3721" s="43">
        <f>COUNTIF($O$7:O3721,FORMULARIO!$AA$2)</f>
        <v>1</v>
      </c>
      <c r="M3721" s="46"/>
      <c r="P3721" s="16"/>
    </row>
    <row r="3722" spans="5:16" hidden="1" x14ac:dyDescent="0.25">
      <c r="E3722" s="43">
        <f>COUNTIF($O$7:O3722,FORMULARIO!$AA$2)</f>
        <v>1</v>
      </c>
      <c r="M3722" s="46"/>
      <c r="P3722" s="16"/>
    </row>
    <row r="3723" spans="5:16" hidden="1" x14ac:dyDescent="0.25">
      <c r="E3723" s="43">
        <f>COUNTIF($O$7:O3723,FORMULARIO!$AA$2)</f>
        <v>1</v>
      </c>
      <c r="M3723" s="46"/>
      <c r="P3723" s="16"/>
    </row>
    <row r="3724" spans="5:16" hidden="1" x14ac:dyDescent="0.25">
      <c r="E3724" s="43">
        <f>COUNTIF($O$7:O3724,FORMULARIO!$AA$2)</f>
        <v>1</v>
      </c>
      <c r="M3724" s="46"/>
      <c r="P3724" s="16"/>
    </row>
    <row r="3725" spans="5:16" hidden="1" x14ac:dyDescent="0.25">
      <c r="E3725" s="43">
        <f>COUNTIF($O$7:O3725,FORMULARIO!$AA$2)</f>
        <v>1</v>
      </c>
      <c r="M3725" s="46"/>
      <c r="P3725" s="16"/>
    </row>
    <row r="3726" spans="5:16" hidden="1" x14ac:dyDescent="0.25">
      <c r="E3726" s="43">
        <f>COUNTIF($O$7:O3726,FORMULARIO!$AA$2)</f>
        <v>1</v>
      </c>
      <c r="M3726" s="46"/>
      <c r="P3726" s="16"/>
    </row>
    <row r="3727" spans="5:16" hidden="1" x14ac:dyDescent="0.25">
      <c r="E3727" s="43">
        <f>COUNTIF($O$7:O3727,FORMULARIO!$AA$2)</f>
        <v>1</v>
      </c>
      <c r="M3727" s="46"/>
      <c r="P3727" s="16"/>
    </row>
    <row r="3728" spans="5:16" hidden="1" x14ac:dyDescent="0.25">
      <c r="E3728" s="43">
        <f>COUNTIF($O$7:O3728,FORMULARIO!$AA$2)</f>
        <v>1</v>
      </c>
      <c r="M3728" s="46"/>
      <c r="P3728" s="16"/>
    </row>
    <row r="3729" spans="5:16" hidden="1" x14ac:dyDescent="0.25">
      <c r="E3729" s="43">
        <f>COUNTIF($O$7:O3729,FORMULARIO!$AA$2)</f>
        <v>1</v>
      </c>
      <c r="M3729" s="46"/>
      <c r="P3729" s="16"/>
    </row>
    <row r="3730" spans="5:16" hidden="1" x14ac:dyDescent="0.25">
      <c r="E3730" s="43">
        <f>COUNTIF($O$7:O3730,FORMULARIO!$AA$2)</f>
        <v>1</v>
      </c>
      <c r="M3730" s="46"/>
      <c r="P3730" s="16"/>
    </row>
    <row r="3731" spans="5:16" hidden="1" x14ac:dyDescent="0.25">
      <c r="E3731" s="43">
        <f>COUNTIF($O$7:O3731,FORMULARIO!$AA$2)</f>
        <v>1</v>
      </c>
      <c r="M3731" s="46"/>
      <c r="P3731" s="16"/>
    </row>
    <row r="3732" spans="5:16" hidden="1" x14ac:dyDescent="0.25">
      <c r="E3732" s="43">
        <f>COUNTIF($O$7:O3732,FORMULARIO!$AA$2)</f>
        <v>1</v>
      </c>
      <c r="M3732" s="46"/>
      <c r="P3732" s="16"/>
    </row>
    <row r="3733" spans="5:16" hidden="1" x14ac:dyDescent="0.25">
      <c r="E3733" s="43">
        <f>COUNTIF($O$7:O3733,FORMULARIO!$AA$2)</f>
        <v>1</v>
      </c>
      <c r="M3733" s="46"/>
      <c r="P3733" s="16"/>
    </row>
    <row r="3734" spans="5:16" hidden="1" x14ac:dyDescent="0.25">
      <c r="E3734" s="43">
        <f>COUNTIF($O$7:O3734,FORMULARIO!$AA$2)</f>
        <v>1</v>
      </c>
      <c r="M3734" s="46"/>
      <c r="P3734" s="16"/>
    </row>
    <row r="3735" spans="5:16" hidden="1" x14ac:dyDescent="0.25">
      <c r="E3735" s="43">
        <f>COUNTIF($O$7:O3735,FORMULARIO!$AA$2)</f>
        <v>1</v>
      </c>
      <c r="M3735" s="46"/>
      <c r="P3735" s="16"/>
    </row>
    <row r="3736" spans="5:16" hidden="1" x14ac:dyDescent="0.25">
      <c r="E3736" s="43">
        <f>COUNTIF($O$7:O3736,FORMULARIO!$AA$2)</f>
        <v>1</v>
      </c>
      <c r="M3736" s="46"/>
      <c r="P3736" s="16"/>
    </row>
    <row r="3737" spans="5:16" hidden="1" x14ac:dyDescent="0.25">
      <c r="E3737" s="43">
        <f>COUNTIF($O$7:O3737,FORMULARIO!$AA$2)</f>
        <v>1</v>
      </c>
      <c r="M3737" s="46"/>
      <c r="P3737" s="16"/>
    </row>
    <row r="3738" spans="5:16" hidden="1" x14ac:dyDescent="0.25">
      <c r="E3738" s="43">
        <f>COUNTIF($O$7:O3738,FORMULARIO!$AA$2)</f>
        <v>1</v>
      </c>
      <c r="M3738" s="46"/>
      <c r="P3738" s="16"/>
    </row>
    <row r="3739" spans="5:16" hidden="1" x14ac:dyDescent="0.25">
      <c r="E3739" s="43">
        <f>COUNTIF($O$7:O3739,FORMULARIO!$AA$2)</f>
        <v>1</v>
      </c>
      <c r="M3739" s="46"/>
      <c r="P3739" s="16"/>
    </row>
    <row r="3740" spans="5:16" hidden="1" x14ac:dyDescent="0.25">
      <c r="E3740" s="43">
        <f>COUNTIF($O$7:O3740,FORMULARIO!$AA$2)</f>
        <v>1</v>
      </c>
      <c r="M3740" s="46"/>
      <c r="P3740" s="16"/>
    </row>
    <row r="3741" spans="5:16" hidden="1" x14ac:dyDescent="0.25">
      <c r="E3741" s="43">
        <f>COUNTIF($O$7:O3741,FORMULARIO!$AA$2)</f>
        <v>1</v>
      </c>
      <c r="M3741" s="46"/>
      <c r="P3741" s="16"/>
    </row>
    <row r="3742" spans="5:16" hidden="1" x14ac:dyDescent="0.25">
      <c r="E3742" s="43">
        <f>COUNTIF($O$7:O3742,FORMULARIO!$AA$2)</f>
        <v>1</v>
      </c>
      <c r="M3742" s="46"/>
      <c r="P3742" s="16"/>
    </row>
    <row r="3743" spans="5:16" hidden="1" x14ac:dyDescent="0.25">
      <c r="E3743" s="43">
        <f>COUNTIF($O$7:O3743,FORMULARIO!$AA$2)</f>
        <v>1</v>
      </c>
      <c r="M3743" s="46"/>
      <c r="P3743" s="16"/>
    </row>
    <row r="3744" spans="5:16" hidden="1" x14ac:dyDescent="0.25">
      <c r="E3744" s="43">
        <f>COUNTIF($O$7:O3744,FORMULARIO!$AA$2)</f>
        <v>1</v>
      </c>
      <c r="M3744" s="46"/>
      <c r="P3744" s="16"/>
    </row>
    <row r="3745" spans="5:16" hidden="1" x14ac:dyDescent="0.25">
      <c r="E3745" s="43">
        <f>COUNTIF($O$7:O3745,FORMULARIO!$AA$2)</f>
        <v>1</v>
      </c>
      <c r="M3745" s="46"/>
      <c r="P3745" s="16"/>
    </row>
    <row r="3746" spans="5:16" hidden="1" x14ac:dyDescent="0.25">
      <c r="E3746" s="43">
        <f>COUNTIF($O$7:O3746,FORMULARIO!$AA$2)</f>
        <v>1</v>
      </c>
      <c r="M3746" s="46"/>
      <c r="P3746" s="16"/>
    </row>
    <row r="3747" spans="5:16" hidden="1" x14ac:dyDescent="0.25">
      <c r="E3747" s="43">
        <f>COUNTIF($O$7:O3747,FORMULARIO!$AA$2)</f>
        <v>1</v>
      </c>
      <c r="M3747" s="46"/>
      <c r="P3747" s="16"/>
    </row>
    <row r="3748" spans="5:16" hidden="1" x14ac:dyDescent="0.25">
      <c r="E3748" s="43">
        <f>COUNTIF($O$7:O3748,FORMULARIO!$AA$2)</f>
        <v>1</v>
      </c>
      <c r="M3748" s="46"/>
      <c r="P3748" s="16"/>
    </row>
    <row r="3749" spans="5:16" hidden="1" x14ac:dyDescent="0.25">
      <c r="E3749" s="43">
        <f>COUNTIF($O$7:O3749,FORMULARIO!$AA$2)</f>
        <v>1</v>
      </c>
      <c r="M3749" s="46"/>
      <c r="P3749" s="16"/>
    </row>
    <row r="3750" spans="5:16" hidden="1" x14ac:dyDescent="0.25">
      <c r="E3750" s="43">
        <f>COUNTIF($O$7:O3750,FORMULARIO!$AA$2)</f>
        <v>1</v>
      </c>
      <c r="M3750" s="46"/>
      <c r="P3750" s="16"/>
    </row>
    <row r="3751" spans="5:16" hidden="1" x14ac:dyDescent="0.25">
      <c r="E3751" s="43">
        <f>COUNTIF($O$7:O3751,FORMULARIO!$AA$2)</f>
        <v>1</v>
      </c>
      <c r="M3751" s="46"/>
      <c r="P3751" s="16"/>
    </row>
    <row r="3752" spans="5:16" hidden="1" x14ac:dyDescent="0.25">
      <c r="E3752" s="43">
        <f>COUNTIF($O$7:O3752,FORMULARIO!$AA$2)</f>
        <v>1</v>
      </c>
      <c r="M3752" s="46"/>
      <c r="P3752" s="16"/>
    </row>
    <row r="3753" spans="5:16" hidden="1" x14ac:dyDescent="0.25">
      <c r="E3753" s="43">
        <f>COUNTIF($O$7:O3753,FORMULARIO!$AA$2)</f>
        <v>1</v>
      </c>
      <c r="M3753" s="46"/>
      <c r="P3753" s="16"/>
    </row>
    <row r="3754" spans="5:16" hidden="1" x14ac:dyDescent="0.25">
      <c r="E3754" s="43">
        <f>COUNTIF($O$7:O3754,FORMULARIO!$AA$2)</f>
        <v>1</v>
      </c>
      <c r="M3754" s="46"/>
      <c r="P3754" s="16"/>
    </row>
    <row r="3755" spans="5:16" hidden="1" x14ac:dyDescent="0.25">
      <c r="E3755" s="43">
        <f>COUNTIF($O$7:O3755,FORMULARIO!$AA$2)</f>
        <v>1</v>
      </c>
      <c r="M3755" s="46"/>
      <c r="P3755" s="16"/>
    </row>
    <row r="3756" spans="5:16" hidden="1" x14ac:dyDescent="0.25">
      <c r="E3756" s="43">
        <f>COUNTIF($O$7:O3756,FORMULARIO!$AA$2)</f>
        <v>1</v>
      </c>
      <c r="M3756" s="46"/>
      <c r="P3756" s="16"/>
    </row>
    <row r="3757" spans="5:16" hidden="1" x14ac:dyDescent="0.25">
      <c r="E3757" s="43">
        <f>COUNTIF($O$7:O3757,FORMULARIO!$AA$2)</f>
        <v>1</v>
      </c>
      <c r="M3757" s="46"/>
      <c r="P3757" s="16"/>
    </row>
    <row r="3758" spans="5:16" hidden="1" x14ac:dyDescent="0.25">
      <c r="E3758" s="43">
        <f>COUNTIF($O$7:O3758,FORMULARIO!$AA$2)</f>
        <v>1</v>
      </c>
      <c r="M3758" s="46"/>
      <c r="P3758" s="16"/>
    </row>
    <row r="3759" spans="5:16" hidden="1" x14ac:dyDescent="0.25">
      <c r="E3759" s="43">
        <f>COUNTIF($O$7:O3759,FORMULARIO!$AA$2)</f>
        <v>1</v>
      </c>
      <c r="M3759" s="46"/>
      <c r="P3759" s="16"/>
    </row>
    <row r="3760" spans="5:16" hidden="1" x14ac:dyDescent="0.25">
      <c r="E3760" s="43">
        <f>COUNTIF($O$7:O3760,FORMULARIO!$AA$2)</f>
        <v>1</v>
      </c>
      <c r="M3760" s="46"/>
      <c r="P3760" s="16"/>
    </row>
    <row r="3761" spans="5:16" hidden="1" x14ac:dyDescent="0.25">
      <c r="E3761" s="43">
        <f>COUNTIF($O$7:O3761,FORMULARIO!$AA$2)</f>
        <v>1</v>
      </c>
      <c r="M3761" s="46"/>
      <c r="P3761" s="16"/>
    </row>
    <row r="3762" spans="5:16" hidden="1" x14ac:dyDescent="0.25">
      <c r="E3762" s="43">
        <f>COUNTIF($O$7:O3762,FORMULARIO!$AA$2)</f>
        <v>1</v>
      </c>
      <c r="M3762" s="46"/>
      <c r="P3762" s="16"/>
    </row>
    <row r="3763" spans="5:16" hidden="1" x14ac:dyDescent="0.25">
      <c r="E3763" s="43">
        <f>COUNTIF($O$7:O3763,FORMULARIO!$AA$2)</f>
        <v>1</v>
      </c>
      <c r="M3763" s="46"/>
      <c r="P3763" s="16"/>
    </row>
    <row r="3764" spans="5:16" hidden="1" x14ac:dyDescent="0.25">
      <c r="E3764" s="43">
        <f>COUNTIF($O$7:O3764,FORMULARIO!$AA$2)</f>
        <v>1</v>
      </c>
      <c r="M3764" s="46"/>
      <c r="P3764" s="16"/>
    </row>
    <row r="3765" spans="5:16" hidden="1" x14ac:dyDescent="0.25">
      <c r="E3765" s="43">
        <f>COUNTIF($O$7:O3765,FORMULARIO!$AA$2)</f>
        <v>1</v>
      </c>
      <c r="M3765" s="46"/>
      <c r="P3765" s="16"/>
    </row>
    <row r="3766" spans="5:16" hidden="1" x14ac:dyDescent="0.25">
      <c r="E3766" s="43">
        <f>COUNTIF($O$7:O3766,FORMULARIO!$AA$2)</f>
        <v>1</v>
      </c>
      <c r="M3766" s="46"/>
      <c r="P3766" s="16"/>
    </row>
    <row r="3767" spans="5:16" hidden="1" x14ac:dyDescent="0.25">
      <c r="E3767" s="43">
        <f>COUNTIF($O$7:O3767,FORMULARIO!$AA$2)</f>
        <v>1</v>
      </c>
      <c r="M3767" s="46"/>
      <c r="P3767" s="16"/>
    </row>
    <row r="3768" spans="5:16" hidden="1" x14ac:dyDescent="0.25">
      <c r="E3768" s="43">
        <f>COUNTIF($O$7:O3768,FORMULARIO!$AA$2)</f>
        <v>1</v>
      </c>
      <c r="M3768" s="46"/>
      <c r="P3768" s="16"/>
    </row>
    <row r="3769" spans="5:16" hidden="1" x14ac:dyDescent="0.25">
      <c r="E3769" s="43">
        <f>COUNTIF($O$7:O3769,FORMULARIO!$AA$2)</f>
        <v>1</v>
      </c>
      <c r="M3769" s="46"/>
      <c r="P3769" s="16"/>
    </row>
    <row r="3770" spans="5:16" hidden="1" x14ac:dyDescent="0.25">
      <c r="E3770" s="43">
        <f>COUNTIF($O$7:O3770,FORMULARIO!$AA$2)</f>
        <v>1</v>
      </c>
      <c r="M3770" s="46"/>
      <c r="P3770" s="16"/>
    </row>
    <row r="3771" spans="5:16" hidden="1" x14ac:dyDescent="0.25">
      <c r="E3771" s="43">
        <f>COUNTIF($O$7:O3771,FORMULARIO!$AA$2)</f>
        <v>1</v>
      </c>
      <c r="M3771" s="46"/>
      <c r="P3771" s="16"/>
    </row>
    <row r="3772" spans="5:16" hidden="1" x14ac:dyDescent="0.25">
      <c r="E3772" s="43">
        <f>COUNTIF($O$7:O3772,FORMULARIO!$AA$2)</f>
        <v>1</v>
      </c>
      <c r="M3772" s="46"/>
      <c r="P3772" s="16"/>
    </row>
    <row r="3773" spans="5:16" hidden="1" x14ac:dyDescent="0.25">
      <c r="E3773" s="43">
        <f>COUNTIF($O$7:O3773,FORMULARIO!$AA$2)</f>
        <v>1</v>
      </c>
      <c r="M3773" s="46"/>
      <c r="P3773" s="16"/>
    </row>
    <row r="3774" spans="5:16" hidden="1" x14ac:dyDescent="0.25">
      <c r="E3774" s="43">
        <f>COUNTIF($O$7:O3774,FORMULARIO!$AA$2)</f>
        <v>1</v>
      </c>
      <c r="M3774" s="46"/>
      <c r="P3774" s="16"/>
    </row>
    <row r="3775" spans="5:16" hidden="1" x14ac:dyDescent="0.25">
      <c r="E3775" s="43">
        <f>COUNTIF($O$7:O3775,FORMULARIO!$AA$2)</f>
        <v>1</v>
      </c>
      <c r="M3775" s="46"/>
      <c r="P3775" s="16"/>
    </row>
    <row r="3776" spans="5:16" hidden="1" x14ac:dyDescent="0.25">
      <c r="E3776" s="43">
        <f>COUNTIF($O$7:O3776,FORMULARIO!$AA$2)</f>
        <v>1</v>
      </c>
      <c r="M3776" s="46"/>
      <c r="P3776" s="16"/>
    </row>
    <row r="3777" spans="5:16" hidden="1" x14ac:dyDescent="0.25">
      <c r="E3777" s="43">
        <f>COUNTIF($O$7:O3777,FORMULARIO!$AA$2)</f>
        <v>1</v>
      </c>
      <c r="M3777" s="46"/>
      <c r="P3777" s="16"/>
    </row>
    <row r="3778" spans="5:16" hidden="1" x14ac:dyDescent="0.25">
      <c r="E3778" s="43">
        <f>COUNTIF($O$7:O3778,FORMULARIO!$AA$2)</f>
        <v>1</v>
      </c>
      <c r="M3778" s="46"/>
      <c r="P3778" s="16"/>
    </row>
    <row r="3779" spans="5:16" hidden="1" x14ac:dyDescent="0.25">
      <c r="E3779" s="43">
        <f>COUNTIF($O$7:O3779,FORMULARIO!$AA$2)</f>
        <v>1</v>
      </c>
      <c r="M3779" s="46"/>
      <c r="P3779" s="16"/>
    </row>
    <row r="3780" spans="5:16" hidden="1" x14ac:dyDescent="0.25">
      <c r="E3780" s="43">
        <f>COUNTIF($O$7:O3780,FORMULARIO!$AA$2)</f>
        <v>1</v>
      </c>
      <c r="M3780" s="46"/>
      <c r="P3780" s="16"/>
    </row>
    <row r="3781" spans="5:16" hidden="1" x14ac:dyDescent="0.25">
      <c r="E3781" s="43">
        <f>COUNTIF($O$7:O3781,FORMULARIO!$AA$2)</f>
        <v>1</v>
      </c>
      <c r="M3781" s="46"/>
      <c r="P3781" s="16"/>
    </row>
    <row r="3782" spans="5:16" hidden="1" x14ac:dyDescent="0.25">
      <c r="E3782" s="43">
        <f>COUNTIF($O$7:O3782,FORMULARIO!$AA$2)</f>
        <v>1</v>
      </c>
      <c r="M3782" s="46"/>
      <c r="P3782" s="16"/>
    </row>
    <row r="3783" spans="5:16" hidden="1" x14ac:dyDescent="0.25">
      <c r="E3783" s="43">
        <f>COUNTIF($O$7:O3783,FORMULARIO!$AA$2)</f>
        <v>1</v>
      </c>
      <c r="M3783" s="46"/>
      <c r="P3783" s="16"/>
    </row>
    <row r="3784" spans="5:16" hidden="1" x14ac:dyDescent="0.25">
      <c r="E3784" s="43">
        <f>COUNTIF($O$7:O3784,FORMULARIO!$AA$2)</f>
        <v>1</v>
      </c>
      <c r="M3784" s="46"/>
      <c r="P3784" s="16"/>
    </row>
    <row r="3785" spans="5:16" hidden="1" x14ac:dyDescent="0.25">
      <c r="E3785" s="43">
        <f>COUNTIF($O$7:O3785,FORMULARIO!$AA$2)</f>
        <v>1</v>
      </c>
      <c r="M3785" s="46"/>
      <c r="P3785" s="16"/>
    </row>
    <row r="3786" spans="5:16" hidden="1" x14ac:dyDescent="0.25">
      <c r="E3786" s="43">
        <f>COUNTIF($O$7:O3786,FORMULARIO!$AA$2)</f>
        <v>1</v>
      </c>
      <c r="M3786" s="46"/>
      <c r="P3786" s="16"/>
    </row>
    <row r="3787" spans="5:16" hidden="1" x14ac:dyDescent="0.25">
      <c r="E3787" s="43">
        <f>COUNTIF($O$7:O3787,FORMULARIO!$AA$2)</f>
        <v>1</v>
      </c>
      <c r="M3787" s="46"/>
      <c r="P3787" s="16"/>
    </row>
    <row r="3788" spans="5:16" hidden="1" x14ac:dyDescent="0.25">
      <c r="E3788" s="43">
        <f>COUNTIF($O$7:O3788,FORMULARIO!$AA$2)</f>
        <v>1</v>
      </c>
      <c r="M3788" s="46"/>
      <c r="P3788" s="16"/>
    </row>
    <row r="3789" spans="5:16" hidden="1" x14ac:dyDescent="0.25">
      <c r="E3789" s="43">
        <f>COUNTIF($O$7:O3789,FORMULARIO!$AA$2)</f>
        <v>1</v>
      </c>
      <c r="M3789" s="46"/>
      <c r="P3789" s="16"/>
    </row>
    <row r="3790" spans="5:16" hidden="1" x14ac:dyDescent="0.25">
      <c r="E3790" s="43">
        <f>COUNTIF($O$7:O3790,FORMULARIO!$AA$2)</f>
        <v>1</v>
      </c>
      <c r="M3790" s="46"/>
      <c r="P3790" s="16"/>
    </row>
    <row r="3791" spans="5:16" hidden="1" x14ac:dyDescent="0.25">
      <c r="E3791" s="43">
        <f>COUNTIF($O$7:O3791,FORMULARIO!$AA$2)</f>
        <v>1</v>
      </c>
      <c r="M3791" s="46"/>
      <c r="P3791" s="16"/>
    </row>
    <row r="3792" spans="5:16" hidden="1" x14ac:dyDescent="0.25">
      <c r="E3792" s="43">
        <f>COUNTIF($O$7:O3792,FORMULARIO!$AA$2)</f>
        <v>1</v>
      </c>
      <c r="M3792" s="46"/>
      <c r="P3792" s="16"/>
    </row>
    <row r="3793" spans="5:16" hidden="1" x14ac:dyDescent="0.25">
      <c r="E3793" s="43">
        <f>COUNTIF($O$7:O3793,FORMULARIO!$AA$2)</f>
        <v>1</v>
      </c>
      <c r="M3793" s="46"/>
      <c r="P3793" s="16"/>
    </row>
    <row r="3794" spans="5:16" hidden="1" x14ac:dyDescent="0.25">
      <c r="E3794" s="43">
        <f>COUNTIF($O$7:O3794,FORMULARIO!$AA$2)</f>
        <v>1</v>
      </c>
      <c r="M3794" s="46"/>
      <c r="P3794" s="16"/>
    </row>
    <row r="3795" spans="5:16" hidden="1" x14ac:dyDescent="0.25">
      <c r="E3795" s="43">
        <f>COUNTIF($O$7:O3795,FORMULARIO!$AA$2)</f>
        <v>1</v>
      </c>
      <c r="M3795" s="46"/>
      <c r="P3795" s="16"/>
    </row>
    <row r="3796" spans="5:16" hidden="1" x14ac:dyDescent="0.25">
      <c r="E3796" s="43">
        <f>COUNTIF($O$7:O3796,FORMULARIO!$AA$2)</f>
        <v>1</v>
      </c>
      <c r="M3796" s="46"/>
      <c r="P3796" s="16"/>
    </row>
    <row r="3797" spans="5:16" hidden="1" x14ac:dyDescent="0.25">
      <c r="E3797" s="43">
        <f>COUNTIF($O$7:O3797,FORMULARIO!$AA$2)</f>
        <v>1</v>
      </c>
      <c r="M3797" s="46"/>
      <c r="P3797" s="16"/>
    </row>
    <row r="3798" spans="5:16" hidden="1" x14ac:dyDescent="0.25">
      <c r="E3798" s="43">
        <f>COUNTIF($O$7:O3798,FORMULARIO!$AA$2)</f>
        <v>1</v>
      </c>
      <c r="M3798" s="46"/>
      <c r="P3798" s="16"/>
    </row>
    <row r="3799" spans="5:16" hidden="1" x14ac:dyDescent="0.25">
      <c r="E3799" s="43">
        <f>COUNTIF($O$7:O3799,FORMULARIO!$AA$2)</f>
        <v>1</v>
      </c>
      <c r="M3799" s="46"/>
      <c r="P3799" s="16"/>
    </row>
    <row r="3800" spans="5:16" hidden="1" x14ac:dyDescent="0.25">
      <c r="E3800" s="43">
        <f>COUNTIF($O$7:O3800,FORMULARIO!$AA$2)</f>
        <v>1</v>
      </c>
      <c r="M3800" s="46"/>
      <c r="P3800" s="16"/>
    </row>
    <row r="3801" spans="5:16" hidden="1" x14ac:dyDescent="0.25">
      <c r="E3801" s="43">
        <f>COUNTIF($O$7:O3801,FORMULARIO!$AA$2)</f>
        <v>1</v>
      </c>
      <c r="M3801" s="46"/>
      <c r="P3801" s="16"/>
    </row>
    <row r="3802" spans="5:16" hidden="1" x14ac:dyDescent="0.25">
      <c r="E3802" s="43">
        <f>COUNTIF($O$7:O3802,FORMULARIO!$AA$2)</f>
        <v>1</v>
      </c>
      <c r="M3802" s="46"/>
      <c r="P3802" s="16"/>
    </row>
    <row r="3803" spans="5:16" hidden="1" x14ac:dyDescent="0.25">
      <c r="E3803" s="43">
        <f>COUNTIF($O$7:O3803,FORMULARIO!$AA$2)</f>
        <v>1</v>
      </c>
      <c r="M3803" s="46"/>
      <c r="P3803" s="16"/>
    </row>
    <row r="3804" spans="5:16" hidden="1" x14ac:dyDescent="0.25">
      <c r="E3804" s="43">
        <f>COUNTIF($O$7:O3804,FORMULARIO!$AA$2)</f>
        <v>1</v>
      </c>
      <c r="M3804" s="46"/>
      <c r="P3804" s="16"/>
    </row>
    <row r="3805" spans="5:16" hidden="1" x14ac:dyDescent="0.25">
      <c r="E3805" s="43">
        <f>COUNTIF($O$7:O3805,FORMULARIO!$AA$2)</f>
        <v>1</v>
      </c>
      <c r="M3805" s="46"/>
      <c r="P3805" s="16"/>
    </row>
    <row r="3806" spans="5:16" hidden="1" x14ac:dyDescent="0.25">
      <c r="E3806" s="43">
        <f>COUNTIF($O$7:O3806,FORMULARIO!$AA$2)</f>
        <v>1</v>
      </c>
      <c r="M3806" s="46"/>
      <c r="P3806" s="16"/>
    </row>
    <row r="3807" spans="5:16" hidden="1" x14ac:dyDescent="0.25">
      <c r="E3807" s="43">
        <f>COUNTIF($O$7:O3807,FORMULARIO!$AA$2)</f>
        <v>1</v>
      </c>
      <c r="M3807" s="46"/>
      <c r="P3807" s="16"/>
    </row>
    <row r="3808" spans="5:16" hidden="1" x14ac:dyDescent="0.25">
      <c r="E3808" s="43">
        <f>COUNTIF($O$7:O3808,FORMULARIO!$AA$2)</f>
        <v>1</v>
      </c>
      <c r="M3808" s="46"/>
      <c r="P3808" s="16"/>
    </row>
    <row r="3809" spans="5:16" hidden="1" x14ac:dyDescent="0.25">
      <c r="E3809" s="43">
        <f>COUNTIF($O$7:O3809,FORMULARIO!$AA$2)</f>
        <v>1</v>
      </c>
      <c r="M3809" s="46"/>
      <c r="P3809" s="16"/>
    </row>
    <row r="3810" spans="5:16" hidden="1" x14ac:dyDescent="0.25">
      <c r="E3810" s="43">
        <f>COUNTIF($O$7:O3810,FORMULARIO!$AA$2)</f>
        <v>1</v>
      </c>
      <c r="M3810" s="46"/>
      <c r="P3810" s="16"/>
    </row>
    <row r="3811" spans="5:16" hidden="1" x14ac:dyDescent="0.25">
      <c r="E3811" s="43">
        <f>COUNTIF($O$7:O3811,FORMULARIO!$AA$2)</f>
        <v>1</v>
      </c>
      <c r="M3811" s="46"/>
      <c r="P3811" s="16"/>
    </row>
    <row r="3812" spans="5:16" hidden="1" x14ac:dyDescent="0.25">
      <c r="E3812" s="43">
        <f>COUNTIF($O$7:O3812,FORMULARIO!$AA$2)</f>
        <v>1</v>
      </c>
      <c r="M3812" s="46"/>
      <c r="P3812" s="16"/>
    </row>
    <row r="3813" spans="5:16" hidden="1" x14ac:dyDescent="0.25">
      <c r="E3813" s="43">
        <f>COUNTIF($O$7:O3813,FORMULARIO!$AA$2)</f>
        <v>1</v>
      </c>
      <c r="M3813" s="46"/>
      <c r="P3813" s="16"/>
    </row>
    <row r="3814" spans="5:16" hidden="1" x14ac:dyDescent="0.25">
      <c r="E3814" s="43">
        <f>COUNTIF($O$7:O3814,FORMULARIO!$AA$2)</f>
        <v>1</v>
      </c>
      <c r="M3814" s="46"/>
      <c r="P3814" s="16"/>
    </row>
    <row r="3815" spans="5:16" hidden="1" x14ac:dyDescent="0.25">
      <c r="E3815" s="43">
        <f>COUNTIF($O$7:O3815,FORMULARIO!$AA$2)</f>
        <v>1</v>
      </c>
      <c r="M3815" s="46"/>
      <c r="P3815" s="16"/>
    </row>
    <row r="3816" spans="5:16" hidden="1" x14ac:dyDescent="0.25">
      <c r="E3816" s="43">
        <f>COUNTIF($O$7:O3816,FORMULARIO!$AA$2)</f>
        <v>1</v>
      </c>
      <c r="M3816" s="46"/>
      <c r="P3816" s="16"/>
    </row>
    <row r="3817" spans="5:16" hidden="1" x14ac:dyDescent="0.25">
      <c r="E3817" s="43">
        <f>COUNTIF($O$7:O3817,FORMULARIO!$AA$2)</f>
        <v>1</v>
      </c>
      <c r="M3817" s="46"/>
      <c r="P3817" s="16"/>
    </row>
    <row r="3818" spans="5:16" hidden="1" x14ac:dyDescent="0.25">
      <c r="E3818" s="43">
        <f>COUNTIF($O$7:O3818,FORMULARIO!$AA$2)</f>
        <v>1</v>
      </c>
      <c r="M3818" s="46"/>
      <c r="P3818" s="16"/>
    </row>
    <row r="3819" spans="5:16" hidden="1" x14ac:dyDescent="0.25">
      <c r="E3819" s="43">
        <f>COUNTIF($O$7:O3819,FORMULARIO!$AA$2)</f>
        <v>1</v>
      </c>
      <c r="M3819" s="46"/>
      <c r="P3819" s="16"/>
    </row>
    <row r="3820" spans="5:16" hidden="1" x14ac:dyDescent="0.25">
      <c r="E3820" s="43">
        <f>COUNTIF($O$7:O3820,FORMULARIO!$AA$2)</f>
        <v>1</v>
      </c>
      <c r="M3820" s="46"/>
      <c r="P3820" s="16"/>
    </row>
    <row r="3821" spans="5:16" hidden="1" x14ac:dyDescent="0.25">
      <c r="E3821" s="43">
        <f>COUNTIF($O$7:O3821,FORMULARIO!$AA$2)</f>
        <v>1</v>
      </c>
      <c r="M3821" s="46"/>
      <c r="P3821" s="16"/>
    </row>
    <row r="3822" spans="5:16" hidden="1" x14ac:dyDescent="0.25">
      <c r="E3822" s="43">
        <f>COUNTIF($O$7:O3822,FORMULARIO!$AA$2)</f>
        <v>1</v>
      </c>
      <c r="M3822" s="46"/>
      <c r="P3822" s="16"/>
    </row>
    <row r="3823" spans="5:16" hidden="1" x14ac:dyDescent="0.25">
      <c r="E3823" s="43">
        <f>COUNTIF($O$7:O3823,FORMULARIO!$AA$2)</f>
        <v>1</v>
      </c>
      <c r="M3823" s="46"/>
      <c r="P3823" s="16"/>
    </row>
    <row r="3824" spans="5:16" hidden="1" x14ac:dyDescent="0.25">
      <c r="E3824" s="43">
        <f>COUNTIF($O$7:O3824,FORMULARIO!$AA$2)</f>
        <v>1</v>
      </c>
      <c r="M3824" s="46"/>
      <c r="P3824" s="16"/>
    </row>
    <row r="3825" spans="5:16" hidden="1" x14ac:dyDescent="0.25">
      <c r="E3825" s="43">
        <f>COUNTIF($O$7:O3825,FORMULARIO!$AA$2)</f>
        <v>1</v>
      </c>
      <c r="M3825" s="46"/>
      <c r="P3825" s="16"/>
    </row>
    <row r="3826" spans="5:16" hidden="1" x14ac:dyDescent="0.25">
      <c r="E3826" s="43">
        <f>COUNTIF($O$7:O3826,FORMULARIO!$AA$2)</f>
        <v>1</v>
      </c>
      <c r="M3826" s="46"/>
      <c r="P3826" s="16"/>
    </row>
    <row r="3827" spans="5:16" hidden="1" x14ac:dyDescent="0.25">
      <c r="E3827" s="43">
        <f>COUNTIF($O$7:O3827,FORMULARIO!$AA$2)</f>
        <v>1</v>
      </c>
      <c r="M3827" s="46"/>
      <c r="P3827" s="16"/>
    </row>
    <row r="3828" spans="5:16" hidden="1" x14ac:dyDescent="0.25">
      <c r="E3828" s="43">
        <f>COUNTIF($O$7:O3828,FORMULARIO!$AA$2)</f>
        <v>1</v>
      </c>
      <c r="M3828" s="46"/>
      <c r="P3828" s="16"/>
    </row>
    <row r="3829" spans="5:16" hidden="1" x14ac:dyDescent="0.25">
      <c r="E3829" s="43">
        <f>COUNTIF($O$7:O3829,FORMULARIO!$AA$2)</f>
        <v>1</v>
      </c>
      <c r="M3829" s="46"/>
      <c r="P3829" s="16"/>
    </row>
    <row r="3830" spans="5:16" hidden="1" x14ac:dyDescent="0.25">
      <c r="E3830" s="43">
        <f>COUNTIF($O$7:O3830,FORMULARIO!$AA$2)</f>
        <v>1</v>
      </c>
      <c r="M3830" s="46"/>
      <c r="P3830" s="16"/>
    </row>
    <row r="3831" spans="5:16" hidden="1" x14ac:dyDescent="0.25">
      <c r="E3831" s="43">
        <f>COUNTIF($O$7:O3831,FORMULARIO!$AA$2)</f>
        <v>1</v>
      </c>
      <c r="M3831" s="46"/>
      <c r="P3831" s="16"/>
    </row>
    <row r="3832" spans="5:16" hidden="1" x14ac:dyDescent="0.25">
      <c r="E3832" s="43">
        <f>COUNTIF($O$7:O3832,FORMULARIO!$AA$2)</f>
        <v>1</v>
      </c>
      <c r="M3832" s="46"/>
      <c r="P3832" s="16"/>
    </row>
    <row r="3833" spans="5:16" hidden="1" x14ac:dyDescent="0.25">
      <c r="E3833" s="43">
        <f>COUNTIF($O$7:O3833,FORMULARIO!$AA$2)</f>
        <v>1</v>
      </c>
      <c r="M3833" s="46"/>
      <c r="P3833" s="16"/>
    </row>
    <row r="3834" spans="5:16" hidden="1" x14ac:dyDescent="0.25">
      <c r="E3834" s="43">
        <f>COUNTIF($O$7:O3834,FORMULARIO!$AA$2)</f>
        <v>1</v>
      </c>
      <c r="M3834" s="46"/>
      <c r="P3834" s="16"/>
    </row>
    <row r="3835" spans="5:16" hidden="1" x14ac:dyDescent="0.25">
      <c r="E3835" s="43">
        <f>COUNTIF($O$7:O3835,FORMULARIO!$AA$2)</f>
        <v>1</v>
      </c>
      <c r="M3835" s="46"/>
      <c r="P3835" s="16"/>
    </row>
    <row r="3836" spans="5:16" hidden="1" x14ac:dyDescent="0.25">
      <c r="E3836" s="43">
        <f>COUNTIF($O$7:O3836,FORMULARIO!$AA$2)</f>
        <v>1</v>
      </c>
      <c r="M3836" s="46"/>
      <c r="P3836" s="16"/>
    </row>
    <row r="3837" spans="5:16" hidden="1" x14ac:dyDescent="0.25">
      <c r="E3837" s="43">
        <f>COUNTIF($O$7:O3837,FORMULARIO!$AA$2)</f>
        <v>1</v>
      </c>
      <c r="M3837" s="46"/>
      <c r="P3837" s="16"/>
    </row>
    <row r="3838" spans="5:16" hidden="1" x14ac:dyDescent="0.25">
      <c r="E3838" s="43">
        <f>COUNTIF($O$7:O3838,FORMULARIO!$AA$2)</f>
        <v>1</v>
      </c>
      <c r="M3838" s="46"/>
      <c r="P3838" s="16"/>
    </row>
    <row r="3839" spans="5:16" hidden="1" x14ac:dyDescent="0.25">
      <c r="E3839" s="43">
        <f>COUNTIF($O$7:O3839,FORMULARIO!$AA$2)</f>
        <v>1</v>
      </c>
      <c r="M3839" s="46"/>
      <c r="P3839" s="16"/>
    </row>
    <row r="3840" spans="5:16" hidden="1" x14ac:dyDescent="0.25">
      <c r="E3840" s="43">
        <f>COUNTIF($O$7:O3840,FORMULARIO!$AA$2)</f>
        <v>1</v>
      </c>
      <c r="M3840" s="46"/>
      <c r="P3840" s="16"/>
    </row>
    <row r="3841" spans="5:16" hidden="1" x14ac:dyDescent="0.25">
      <c r="E3841" s="43">
        <f>COUNTIF($O$7:O3841,FORMULARIO!$AA$2)</f>
        <v>1</v>
      </c>
      <c r="M3841" s="46"/>
      <c r="P3841" s="16"/>
    </row>
    <row r="3842" spans="5:16" hidden="1" x14ac:dyDescent="0.25">
      <c r="E3842" s="43">
        <f>COUNTIF($O$7:O3842,FORMULARIO!$AA$2)</f>
        <v>1</v>
      </c>
      <c r="M3842" s="46"/>
      <c r="P3842" s="16"/>
    </row>
    <row r="3843" spans="5:16" hidden="1" x14ac:dyDescent="0.25">
      <c r="E3843" s="43">
        <f>COUNTIF($O$7:O3843,FORMULARIO!$AA$2)</f>
        <v>1</v>
      </c>
      <c r="M3843" s="46"/>
      <c r="P3843" s="16"/>
    </row>
    <row r="3844" spans="5:16" hidden="1" x14ac:dyDescent="0.25">
      <c r="E3844" s="43">
        <f>COUNTIF($O$7:O3844,FORMULARIO!$AA$2)</f>
        <v>1</v>
      </c>
      <c r="M3844" s="46"/>
      <c r="P3844" s="16"/>
    </row>
    <row r="3845" spans="5:16" hidden="1" x14ac:dyDescent="0.25">
      <c r="E3845" s="43">
        <f>COUNTIF($O$7:O3845,FORMULARIO!$AA$2)</f>
        <v>1</v>
      </c>
      <c r="M3845" s="46"/>
      <c r="P3845" s="16"/>
    </row>
    <row r="3846" spans="5:16" hidden="1" x14ac:dyDescent="0.25">
      <c r="E3846" s="43">
        <f>COUNTIF($O$7:O3846,FORMULARIO!$AA$2)</f>
        <v>1</v>
      </c>
      <c r="M3846" s="46"/>
      <c r="P3846" s="16"/>
    </row>
    <row r="3847" spans="5:16" hidden="1" x14ac:dyDescent="0.25">
      <c r="E3847" s="43">
        <f>COUNTIF($O$7:O3847,FORMULARIO!$AA$2)</f>
        <v>1</v>
      </c>
      <c r="M3847" s="46"/>
      <c r="P3847" s="16"/>
    </row>
    <row r="3848" spans="5:16" hidden="1" x14ac:dyDescent="0.25">
      <c r="E3848" s="43">
        <f>COUNTIF($O$7:O3848,FORMULARIO!$AA$2)</f>
        <v>1</v>
      </c>
      <c r="M3848" s="46"/>
      <c r="P3848" s="16"/>
    </row>
    <row r="3849" spans="5:16" hidden="1" x14ac:dyDescent="0.25">
      <c r="E3849" s="43">
        <f>COUNTIF($O$7:O3849,FORMULARIO!$AA$2)</f>
        <v>1</v>
      </c>
      <c r="M3849" s="46"/>
      <c r="P3849" s="16"/>
    </row>
    <row r="3850" spans="5:16" hidden="1" x14ac:dyDescent="0.25">
      <c r="E3850" s="43">
        <f>COUNTIF($O$7:O3850,FORMULARIO!$AA$2)</f>
        <v>1</v>
      </c>
      <c r="M3850" s="46"/>
      <c r="P3850" s="16"/>
    </row>
    <row r="3851" spans="5:16" hidden="1" x14ac:dyDescent="0.25">
      <c r="E3851" s="43">
        <f>COUNTIF($O$7:O3851,FORMULARIO!$AA$2)</f>
        <v>1</v>
      </c>
      <c r="M3851" s="46"/>
      <c r="P3851" s="16"/>
    </row>
    <row r="3852" spans="5:16" hidden="1" x14ac:dyDescent="0.25">
      <c r="E3852" s="43">
        <f>COUNTIF($O$7:O3852,FORMULARIO!$AA$2)</f>
        <v>1</v>
      </c>
      <c r="M3852" s="46"/>
      <c r="P3852" s="16"/>
    </row>
    <row r="3853" spans="5:16" hidden="1" x14ac:dyDescent="0.25">
      <c r="E3853" s="43">
        <f>COUNTIF($O$7:O3853,FORMULARIO!$AA$2)</f>
        <v>1</v>
      </c>
      <c r="M3853" s="46"/>
      <c r="P3853" s="16"/>
    </row>
    <row r="3854" spans="5:16" hidden="1" x14ac:dyDescent="0.25">
      <c r="E3854" s="43">
        <f>COUNTIF($O$7:O3854,FORMULARIO!$AA$2)</f>
        <v>1</v>
      </c>
      <c r="M3854" s="46"/>
      <c r="P3854" s="16"/>
    </row>
    <row r="3855" spans="5:16" hidden="1" x14ac:dyDescent="0.25">
      <c r="E3855" s="43">
        <f>COUNTIF($O$7:O3855,FORMULARIO!$AA$2)</f>
        <v>1</v>
      </c>
      <c r="M3855" s="46"/>
      <c r="P3855" s="16"/>
    </row>
    <row r="3856" spans="5:16" hidden="1" x14ac:dyDescent="0.25">
      <c r="E3856" s="43">
        <f>COUNTIF($O$7:O3856,FORMULARIO!$AA$2)</f>
        <v>1</v>
      </c>
      <c r="M3856" s="46"/>
      <c r="P3856" s="16"/>
    </row>
    <row r="3857" spans="5:16" hidden="1" x14ac:dyDescent="0.25">
      <c r="E3857" s="43">
        <f>COUNTIF($O$7:O3857,FORMULARIO!$AA$2)</f>
        <v>1</v>
      </c>
      <c r="M3857" s="46"/>
      <c r="P3857" s="16"/>
    </row>
    <row r="3858" spans="5:16" hidden="1" x14ac:dyDescent="0.25">
      <c r="E3858" s="43">
        <f>COUNTIF($O$7:O3858,FORMULARIO!$AA$2)</f>
        <v>1</v>
      </c>
      <c r="M3858" s="46"/>
      <c r="P3858" s="16"/>
    </row>
    <row r="3859" spans="5:16" hidden="1" x14ac:dyDescent="0.25">
      <c r="E3859" s="43">
        <f>COUNTIF($O$7:O3859,FORMULARIO!$AA$2)</f>
        <v>1</v>
      </c>
      <c r="M3859" s="46"/>
      <c r="P3859" s="16"/>
    </row>
    <row r="3860" spans="5:16" hidden="1" x14ac:dyDescent="0.25">
      <c r="E3860" s="43">
        <f>COUNTIF($O$7:O3860,FORMULARIO!$AA$2)</f>
        <v>1</v>
      </c>
      <c r="M3860" s="46"/>
      <c r="P3860" s="16"/>
    </row>
    <row r="3861" spans="5:16" hidden="1" x14ac:dyDescent="0.25">
      <c r="E3861" s="43">
        <f>COUNTIF($O$7:O3861,FORMULARIO!$AA$2)</f>
        <v>1</v>
      </c>
      <c r="M3861" s="46"/>
      <c r="P3861" s="16"/>
    </row>
    <row r="3862" spans="5:16" hidden="1" x14ac:dyDescent="0.25">
      <c r="E3862" s="43">
        <f>COUNTIF($O$7:O3862,FORMULARIO!$AA$2)</f>
        <v>1</v>
      </c>
      <c r="M3862" s="46"/>
      <c r="P3862" s="16"/>
    </row>
    <row r="3863" spans="5:16" hidden="1" x14ac:dyDescent="0.25">
      <c r="E3863" s="43">
        <f>COUNTIF($O$7:O3863,FORMULARIO!$AA$2)</f>
        <v>1</v>
      </c>
      <c r="M3863" s="46"/>
      <c r="P3863" s="16"/>
    </row>
    <row r="3864" spans="5:16" hidden="1" x14ac:dyDescent="0.25">
      <c r="E3864" s="43">
        <f>COUNTIF($O$7:O3864,FORMULARIO!$AA$2)</f>
        <v>1</v>
      </c>
      <c r="M3864" s="46"/>
      <c r="P3864" s="16"/>
    </row>
    <row r="3865" spans="5:16" hidden="1" x14ac:dyDescent="0.25">
      <c r="E3865" s="43">
        <f>COUNTIF($O$7:O3865,FORMULARIO!$AA$2)</f>
        <v>1</v>
      </c>
      <c r="M3865" s="46"/>
      <c r="P3865" s="16"/>
    </row>
    <row r="3866" spans="5:16" hidden="1" x14ac:dyDescent="0.25">
      <c r="E3866" s="43">
        <f>COUNTIF($O$7:O3866,FORMULARIO!$AA$2)</f>
        <v>1</v>
      </c>
      <c r="M3866" s="46"/>
      <c r="P3866" s="16"/>
    </row>
    <row r="3867" spans="5:16" hidden="1" x14ac:dyDescent="0.25">
      <c r="E3867" s="43">
        <f>COUNTIF($O$7:O3867,FORMULARIO!$AA$2)</f>
        <v>1</v>
      </c>
      <c r="M3867" s="46"/>
      <c r="P3867" s="16"/>
    </row>
    <row r="3868" spans="5:16" hidden="1" x14ac:dyDescent="0.25">
      <c r="E3868" s="43">
        <f>COUNTIF($O$7:O3868,FORMULARIO!$AA$2)</f>
        <v>1</v>
      </c>
      <c r="M3868" s="46"/>
      <c r="P3868" s="16"/>
    </row>
    <row r="3869" spans="5:16" hidden="1" x14ac:dyDescent="0.25">
      <c r="E3869" s="43">
        <f>COUNTIF($O$7:O3869,FORMULARIO!$AA$2)</f>
        <v>1</v>
      </c>
      <c r="M3869" s="46"/>
      <c r="P3869" s="16"/>
    </row>
    <row r="3870" spans="5:16" hidden="1" x14ac:dyDescent="0.25">
      <c r="E3870" s="43">
        <f>COUNTIF($O$7:O3870,FORMULARIO!$AA$2)</f>
        <v>1</v>
      </c>
      <c r="M3870" s="46"/>
      <c r="P3870" s="16"/>
    </row>
    <row r="3871" spans="5:16" hidden="1" x14ac:dyDescent="0.25">
      <c r="E3871" s="43">
        <f>COUNTIF($O$7:O3871,FORMULARIO!$AA$2)</f>
        <v>1</v>
      </c>
      <c r="M3871" s="46"/>
      <c r="P3871" s="16"/>
    </row>
    <row r="3872" spans="5:16" hidden="1" x14ac:dyDescent="0.25">
      <c r="E3872" s="43">
        <f>COUNTIF($O$7:O3872,FORMULARIO!$AA$2)</f>
        <v>1</v>
      </c>
      <c r="M3872" s="46"/>
      <c r="P3872" s="16"/>
    </row>
    <row r="3873" spans="5:16" hidden="1" x14ac:dyDescent="0.25">
      <c r="E3873" s="43">
        <f>COUNTIF($O$7:O3873,FORMULARIO!$AA$2)</f>
        <v>1</v>
      </c>
      <c r="M3873" s="46"/>
      <c r="P3873" s="16"/>
    </row>
    <row r="3874" spans="5:16" hidden="1" x14ac:dyDescent="0.25">
      <c r="E3874" s="43">
        <f>COUNTIF($O$7:O3874,FORMULARIO!$AA$2)</f>
        <v>1</v>
      </c>
      <c r="M3874" s="46"/>
      <c r="P3874" s="16"/>
    </row>
    <row r="3875" spans="5:16" hidden="1" x14ac:dyDescent="0.25">
      <c r="E3875" s="43">
        <f>COUNTIF($O$7:O3875,FORMULARIO!$AA$2)</f>
        <v>1</v>
      </c>
      <c r="M3875" s="46"/>
      <c r="P3875" s="16"/>
    </row>
    <row r="3876" spans="5:16" hidden="1" x14ac:dyDescent="0.25">
      <c r="E3876" s="43">
        <f>COUNTIF($O$7:O3876,FORMULARIO!$AA$2)</f>
        <v>1</v>
      </c>
      <c r="M3876" s="46"/>
      <c r="P3876" s="16"/>
    </row>
    <row r="3877" spans="5:16" hidden="1" x14ac:dyDescent="0.25">
      <c r="E3877" s="43">
        <f>COUNTIF($O$7:O3877,FORMULARIO!$AA$2)</f>
        <v>1</v>
      </c>
      <c r="M3877" s="46"/>
      <c r="P3877" s="16"/>
    </row>
    <row r="3878" spans="5:16" hidden="1" x14ac:dyDescent="0.25">
      <c r="E3878" s="43">
        <f>COUNTIF($O$7:O3878,FORMULARIO!$AA$2)</f>
        <v>1</v>
      </c>
      <c r="M3878" s="46"/>
      <c r="P3878" s="16"/>
    </row>
    <row r="3879" spans="5:16" hidden="1" x14ac:dyDescent="0.25">
      <c r="E3879" s="43">
        <f>COUNTIF($O$7:O3879,FORMULARIO!$AA$2)</f>
        <v>1</v>
      </c>
      <c r="M3879" s="46"/>
      <c r="P3879" s="16"/>
    </row>
    <row r="3880" spans="5:16" hidden="1" x14ac:dyDescent="0.25">
      <c r="E3880" s="43">
        <f>COUNTIF($O$7:O3880,FORMULARIO!$AA$2)</f>
        <v>1</v>
      </c>
      <c r="M3880" s="46"/>
      <c r="P3880" s="16"/>
    </row>
    <row r="3881" spans="5:16" hidden="1" x14ac:dyDescent="0.25">
      <c r="E3881" s="43">
        <f>COUNTIF($O$7:O3881,FORMULARIO!$AA$2)</f>
        <v>1</v>
      </c>
      <c r="M3881" s="46"/>
      <c r="P3881" s="16"/>
    </row>
    <row r="3882" spans="5:16" hidden="1" x14ac:dyDescent="0.25">
      <c r="E3882" s="43">
        <f>COUNTIF($O$7:O3882,FORMULARIO!$AA$2)</f>
        <v>1</v>
      </c>
      <c r="M3882" s="46"/>
      <c r="P3882" s="16"/>
    </row>
    <row r="3883" spans="5:16" hidden="1" x14ac:dyDescent="0.25">
      <c r="E3883" s="43">
        <f>COUNTIF($O$7:O3883,FORMULARIO!$AA$2)</f>
        <v>1</v>
      </c>
      <c r="M3883" s="46"/>
      <c r="P3883" s="16"/>
    </row>
    <row r="3884" spans="5:16" hidden="1" x14ac:dyDescent="0.25">
      <c r="E3884" s="43">
        <f>COUNTIF($O$7:O3884,FORMULARIO!$AA$2)</f>
        <v>1</v>
      </c>
      <c r="M3884" s="46"/>
      <c r="P3884" s="16"/>
    </row>
    <row r="3885" spans="5:16" hidden="1" x14ac:dyDescent="0.25">
      <c r="E3885" s="43">
        <f>COUNTIF($O$7:O3885,FORMULARIO!$AA$2)</f>
        <v>1</v>
      </c>
      <c r="M3885" s="46"/>
      <c r="P3885" s="16"/>
    </row>
    <row r="3886" spans="5:16" hidden="1" x14ac:dyDescent="0.25">
      <c r="E3886" s="43">
        <f>COUNTIF($O$7:O3886,FORMULARIO!$AA$2)</f>
        <v>1</v>
      </c>
      <c r="M3886" s="46"/>
      <c r="P3886" s="16"/>
    </row>
    <row r="3887" spans="5:16" hidden="1" x14ac:dyDescent="0.25">
      <c r="E3887" s="43">
        <f>COUNTIF($O$7:O3887,FORMULARIO!$AA$2)</f>
        <v>1</v>
      </c>
      <c r="M3887" s="46"/>
      <c r="P3887" s="16"/>
    </row>
    <row r="3888" spans="5:16" hidden="1" x14ac:dyDescent="0.25">
      <c r="E3888" s="43">
        <f>COUNTIF($O$7:O3888,FORMULARIO!$AA$2)</f>
        <v>1</v>
      </c>
      <c r="M3888" s="46"/>
      <c r="P3888" s="16"/>
    </row>
    <row r="3889" spans="5:16" hidden="1" x14ac:dyDescent="0.25">
      <c r="E3889" s="43">
        <f>COUNTIF($O$7:O3889,FORMULARIO!$AA$2)</f>
        <v>1</v>
      </c>
      <c r="M3889" s="46"/>
      <c r="P3889" s="16"/>
    </row>
    <row r="3890" spans="5:16" hidden="1" x14ac:dyDescent="0.25">
      <c r="E3890" s="43">
        <f>COUNTIF($O$7:O3890,FORMULARIO!$AA$2)</f>
        <v>1</v>
      </c>
      <c r="M3890" s="46"/>
      <c r="P3890" s="16"/>
    </row>
    <row r="3891" spans="5:16" hidden="1" x14ac:dyDescent="0.25">
      <c r="E3891" s="43">
        <f>COUNTIF($O$7:O3891,FORMULARIO!$AA$2)</f>
        <v>1</v>
      </c>
      <c r="M3891" s="46"/>
      <c r="P3891" s="16"/>
    </row>
    <row r="3892" spans="5:16" hidden="1" x14ac:dyDescent="0.25">
      <c r="E3892" s="43">
        <f>COUNTIF($O$7:O3892,FORMULARIO!$AA$2)</f>
        <v>1</v>
      </c>
      <c r="M3892" s="46"/>
      <c r="P3892" s="16"/>
    </row>
    <row r="3893" spans="5:16" hidden="1" x14ac:dyDescent="0.25">
      <c r="E3893" s="43">
        <f>COUNTIF($O$7:O3893,FORMULARIO!$AA$2)</f>
        <v>1</v>
      </c>
      <c r="M3893" s="46"/>
      <c r="P3893" s="16"/>
    </row>
    <row r="3894" spans="5:16" hidden="1" x14ac:dyDescent="0.25">
      <c r="E3894" s="43">
        <f>COUNTIF($O$7:O3894,FORMULARIO!$AA$2)</f>
        <v>1</v>
      </c>
      <c r="M3894" s="46"/>
      <c r="P3894" s="16"/>
    </row>
    <row r="3895" spans="5:16" hidden="1" x14ac:dyDescent="0.25">
      <c r="E3895" s="43">
        <f>COUNTIF($O$7:O3895,FORMULARIO!$AA$2)</f>
        <v>1</v>
      </c>
      <c r="M3895" s="46"/>
      <c r="P3895" s="16"/>
    </row>
    <row r="3896" spans="5:16" hidden="1" x14ac:dyDescent="0.25">
      <c r="E3896" s="43">
        <f>COUNTIF($O$7:O3896,FORMULARIO!$AA$2)</f>
        <v>1</v>
      </c>
      <c r="M3896" s="46"/>
      <c r="P3896" s="16"/>
    </row>
    <row r="3897" spans="5:16" hidden="1" x14ac:dyDescent="0.25">
      <c r="E3897" s="43">
        <f>COUNTIF($O$7:O3897,FORMULARIO!$AA$2)</f>
        <v>1</v>
      </c>
      <c r="M3897" s="46"/>
      <c r="P3897" s="16"/>
    </row>
    <row r="3898" spans="5:16" hidden="1" x14ac:dyDescent="0.25">
      <c r="E3898" s="43">
        <f>COUNTIF($O$7:O3898,FORMULARIO!$AA$2)</f>
        <v>1</v>
      </c>
      <c r="M3898" s="46"/>
      <c r="P3898" s="16"/>
    </row>
    <row r="3899" spans="5:16" hidden="1" x14ac:dyDescent="0.25">
      <c r="E3899" s="43">
        <f>COUNTIF($O$7:O3899,FORMULARIO!$AA$2)</f>
        <v>1</v>
      </c>
      <c r="M3899" s="46"/>
      <c r="P3899" s="16"/>
    </row>
    <row r="3900" spans="5:16" hidden="1" x14ac:dyDescent="0.25">
      <c r="E3900" s="43">
        <f>COUNTIF($O$7:O3900,FORMULARIO!$AA$2)</f>
        <v>1</v>
      </c>
      <c r="M3900" s="46"/>
      <c r="P3900" s="16"/>
    </row>
    <row r="3901" spans="5:16" hidden="1" x14ac:dyDescent="0.25">
      <c r="E3901" s="43">
        <f>COUNTIF($O$7:O3901,FORMULARIO!$AA$2)</f>
        <v>1</v>
      </c>
      <c r="M3901" s="46"/>
      <c r="P3901" s="16"/>
    </row>
    <row r="3902" spans="5:16" hidden="1" x14ac:dyDescent="0.25">
      <c r="E3902" s="43">
        <f>COUNTIF($O$7:O3902,FORMULARIO!$AA$2)</f>
        <v>1</v>
      </c>
      <c r="M3902" s="46"/>
      <c r="P3902" s="16"/>
    </row>
    <row r="3903" spans="5:16" hidden="1" x14ac:dyDescent="0.25">
      <c r="E3903" s="43">
        <f>COUNTIF($O$7:O3903,FORMULARIO!$AA$2)</f>
        <v>1</v>
      </c>
      <c r="M3903" s="46"/>
      <c r="P3903" s="16"/>
    </row>
    <row r="3904" spans="5:16" hidden="1" x14ac:dyDescent="0.25">
      <c r="E3904" s="43">
        <f>COUNTIF($O$7:O3904,FORMULARIO!$AA$2)</f>
        <v>1</v>
      </c>
      <c r="M3904" s="46"/>
      <c r="P3904" s="16"/>
    </row>
    <row r="3905" spans="5:16" hidden="1" x14ac:dyDescent="0.25">
      <c r="E3905" s="43">
        <f>COUNTIF($O$7:O3905,FORMULARIO!$AA$2)</f>
        <v>1</v>
      </c>
      <c r="M3905" s="46"/>
      <c r="P3905" s="16"/>
    </row>
    <row r="3906" spans="5:16" hidden="1" x14ac:dyDescent="0.25">
      <c r="E3906" s="43">
        <f>COUNTIF($O$7:O3906,FORMULARIO!$AA$2)</f>
        <v>1</v>
      </c>
      <c r="M3906" s="46"/>
      <c r="P3906" s="16"/>
    </row>
    <row r="3907" spans="5:16" hidden="1" x14ac:dyDescent="0.25">
      <c r="E3907" s="43">
        <f>COUNTIF($O$7:O3907,FORMULARIO!$AA$2)</f>
        <v>1</v>
      </c>
      <c r="M3907" s="46"/>
      <c r="P3907" s="16"/>
    </row>
    <row r="3908" spans="5:16" hidden="1" x14ac:dyDescent="0.25">
      <c r="E3908" s="43">
        <f>COUNTIF($O$7:O3908,FORMULARIO!$AA$2)</f>
        <v>1</v>
      </c>
      <c r="M3908" s="46"/>
      <c r="P3908" s="16"/>
    </row>
    <row r="3909" spans="5:16" hidden="1" x14ac:dyDescent="0.25">
      <c r="E3909" s="43">
        <f>COUNTIF($O$7:O3909,FORMULARIO!$AA$2)</f>
        <v>1</v>
      </c>
      <c r="M3909" s="46"/>
      <c r="P3909" s="16"/>
    </row>
    <row r="3910" spans="5:16" hidden="1" x14ac:dyDescent="0.25">
      <c r="E3910" s="43">
        <f>COUNTIF($O$7:O3910,FORMULARIO!$AA$2)</f>
        <v>1</v>
      </c>
      <c r="M3910" s="46"/>
      <c r="P3910" s="16"/>
    </row>
    <row r="3911" spans="5:16" hidden="1" x14ac:dyDescent="0.25">
      <c r="E3911" s="43">
        <f>COUNTIF($O$7:O3911,FORMULARIO!$AA$2)</f>
        <v>1</v>
      </c>
      <c r="M3911" s="46"/>
      <c r="P3911" s="16"/>
    </row>
    <row r="3912" spans="5:16" hidden="1" x14ac:dyDescent="0.25">
      <c r="E3912" s="43">
        <f>COUNTIF($O$7:O3912,FORMULARIO!$AA$2)</f>
        <v>1</v>
      </c>
      <c r="M3912" s="46"/>
      <c r="P3912" s="16"/>
    </row>
    <row r="3913" spans="5:16" hidden="1" x14ac:dyDescent="0.25">
      <c r="E3913" s="43">
        <f>COUNTIF($O$7:O3913,FORMULARIO!$AA$2)</f>
        <v>1</v>
      </c>
      <c r="M3913" s="46"/>
      <c r="P3913" s="16"/>
    </row>
    <row r="3914" spans="5:16" hidden="1" x14ac:dyDescent="0.25">
      <c r="E3914" s="43">
        <f>COUNTIF($O$7:O3914,FORMULARIO!$AA$2)</f>
        <v>1</v>
      </c>
      <c r="M3914" s="46"/>
      <c r="P3914" s="16"/>
    </row>
    <row r="3915" spans="5:16" hidden="1" x14ac:dyDescent="0.25">
      <c r="E3915" s="43">
        <f>COUNTIF($O$7:O3915,FORMULARIO!$AA$2)</f>
        <v>1</v>
      </c>
      <c r="M3915" s="46"/>
      <c r="P3915" s="16"/>
    </row>
    <row r="3916" spans="5:16" hidden="1" x14ac:dyDescent="0.25">
      <c r="E3916" s="43">
        <f>COUNTIF($O$7:O3916,FORMULARIO!$AA$2)</f>
        <v>1</v>
      </c>
      <c r="M3916" s="46"/>
      <c r="P3916" s="16"/>
    </row>
    <row r="3917" spans="5:16" hidden="1" x14ac:dyDescent="0.25">
      <c r="E3917" s="43">
        <f>COUNTIF($O$7:O3917,FORMULARIO!$AA$2)</f>
        <v>1</v>
      </c>
      <c r="M3917" s="46"/>
      <c r="P3917" s="16"/>
    </row>
    <row r="3918" spans="5:16" hidden="1" x14ac:dyDescent="0.25">
      <c r="E3918" s="43">
        <f>COUNTIF($O$7:O3918,FORMULARIO!$AA$2)</f>
        <v>1</v>
      </c>
      <c r="M3918" s="46"/>
      <c r="P3918" s="16"/>
    </row>
    <row r="3919" spans="5:16" hidden="1" x14ac:dyDescent="0.25">
      <c r="E3919" s="43">
        <f>COUNTIF($O$7:O3919,FORMULARIO!$AA$2)</f>
        <v>1</v>
      </c>
      <c r="M3919" s="46"/>
      <c r="P3919" s="16"/>
    </row>
    <row r="3920" spans="5:16" hidden="1" x14ac:dyDescent="0.25">
      <c r="E3920" s="43">
        <f>COUNTIF($O$7:O3920,FORMULARIO!$AA$2)</f>
        <v>1</v>
      </c>
      <c r="M3920" s="46"/>
      <c r="P3920" s="16"/>
    </row>
    <row r="3921" spans="5:16" hidden="1" x14ac:dyDescent="0.25">
      <c r="E3921" s="43">
        <f>COUNTIF($O$7:O3921,FORMULARIO!$AA$2)</f>
        <v>1</v>
      </c>
      <c r="M3921" s="46"/>
      <c r="P3921" s="16"/>
    </row>
    <row r="3922" spans="5:16" hidden="1" x14ac:dyDescent="0.25">
      <c r="E3922" s="43">
        <f>COUNTIF($O$7:O3922,FORMULARIO!$AA$2)</f>
        <v>1</v>
      </c>
      <c r="M3922" s="46"/>
      <c r="P3922" s="16"/>
    </row>
    <row r="3923" spans="5:16" hidden="1" x14ac:dyDescent="0.25">
      <c r="E3923" s="43">
        <f>COUNTIF($O$7:O3923,FORMULARIO!$AA$2)</f>
        <v>1</v>
      </c>
      <c r="M3923" s="46"/>
      <c r="P3923" s="16"/>
    </row>
    <row r="3924" spans="5:16" hidden="1" x14ac:dyDescent="0.25">
      <c r="E3924" s="43">
        <f>COUNTIF($O$7:O3924,FORMULARIO!$AA$2)</f>
        <v>1</v>
      </c>
      <c r="M3924" s="46"/>
      <c r="P3924" s="16"/>
    </row>
    <row r="3925" spans="5:16" hidden="1" x14ac:dyDescent="0.25">
      <c r="E3925" s="43">
        <f>COUNTIF($O$7:O3925,FORMULARIO!$AA$2)</f>
        <v>1</v>
      </c>
      <c r="M3925" s="46"/>
      <c r="P3925" s="16"/>
    </row>
    <row r="3926" spans="5:16" hidden="1" x14ac:dyDescent="0.25">
      <c r="E3926" s="43">
        <f>COUNTIF($O$7:O3926,FORMULARIO!$AA$2)</f>
        <v>1</v>
      </c>
      <c r="M3926" s="46"/>
      <c r="P3926" s="16"/>
    </row>
    <row r="3927" spans="5:16" hidden="1" x14ac:dyDescent="0.25">
      <c r="E3927" s="43">
        <f>COUNTIF($O$7:O3927,FORMULARIO!$AA$2)</f>
        <v>1</v>
      </c>
      <c r="M3927" s="46"/>
      <c r="P3927" s="16"/>
    </row>
    <row r="3928" spans="5:16" hidden="1" x14ac:dyDescent="0.25">
      <c r="E3928" s="43">
        <f>COUNTIF($O$7:O3928,FORMULARIO!$AA$2)</f>
        <v>1</v>
      </c>
      <c r="M3928" s="46"/>
      <c r="P3928" s="16"/>
    </row>
    <row r="3929" spans="5:16" hidden="1" x14ac:dyDescent="0.25">
      <c r="E3929" s="43">
        <f>COUNTIF($O$7:O3929,FORMULARIO!$AA$2)</f>
        <v>1</v>
      </c>
      <c r="M3929" s="46"/>
      <c r="P3929" s="16"/>
    </row>
    <row r="3930" spans="5:16" hidden="1" x14ac:dyDescent="0.25">
      <c r="E3930" s="43">
        <f>COUNTIF($O$7:O3930,FORMULARIO!$AA$2)</f>
        <v>1</v>
      </c>
      <c r="M3930" s="46"/>
      <c r="P3930" s="16"/>
    </row>
    <row r="3931" spans="5:16" hidden="1" x14ac:dyDescent="0.25">
      <c r="E3931" s="43">
        <f>COUNTIF($O$7:O3931,FORMULARIO!$AA$2)</f>
        <v>1</v>
      </c>
      <c r="M3931" s="46"/>
      <c r="P3931" s="16"/>
    </row>
    <row r="3932" spans="5:16" hidden="1" x14ac:dyDescent="0.25">
      <c r="E3932" s="43">
        <f>COUNTIF($O$7:O3932,FORMULARIO!$AA$2)</f>
        <v>1</v>
      </c>
      <c r="M3932" s="46"/>
      <c r="P3932" s="16"/>
    </row>
    <row r="3933" spans="5:16" hidden="1" x14ac:dyDescent="0.25">
      <c r="E3933" s="43">
        <f>COUNTIF($O$7:O3933,FORMULARIO!$AA$2)</f>
        <v>1</v>
      </c>
      <c r="M3933" s="46"/>
      <c r="P3933" s="16"/>
    </row>
    <row r="3934" spans="5:16" hidden="1" x14ac:dyDescent="0.25">
      <c r="E3934" s="43">
        <f>COUNTIF($O$7:O3934,FORMULARIO!$AA$2)</f>
        <v>1</v>
      </c>
      <c r="M3934" s="46"/>
      <c r="P3934" s="16"/>
    </row>
    <row r="3935" spans="5:16" hidden="1" x14ac:dyDescent="0.25">
      <c r="E3935" s="43">
        <f>COUNTIF($O$7:O3935,FORMULARIO!$AA$2)</f>
        <v>1</v>
      </c>
      <c r="M3935" s="46"/>
      <c r="P3935" s="16"/>
    </row>
    <row r="3936" spans="5:16" hidden="1" x14ac:dyDescent="0.25">
      <c r="E3936" s="43">
        <f>COUNTIF($O$7:O3936,FORMULARIO!$AA$2)</f>
        <v>1</v>
      </c>
      <c r="M3936" s="46"/>
      <c r="P3936" s="16"/>
    </row>
    <row r="3937" spans="5:16" hidden="1" x14ac:dyDescent="0.25">
      <c r="E3937" s="43">
        <f>COUNTIF($O$7:O3937,FORMULARIO!$AA$2)</f>
        <v>1</v>
      </c>
      <c r="M3937" s="46"/>
      <c r="P3937" s="16"/>
    </row>
    <row r="3938" spans="5:16" hidden="1" x14ac:dyDescent="0.25">
      <c r="E3938" s="43">
        <f>COUNTIF($O$7:O3938,FORMULARIO!$AA$2)</f>
        <v>1</v>
      </c>
      <c r="M3938" s="46"/>
      <c r="P3938" s="16"/>
    </row>
    <row r="3939" spans="5:16" hidden="1" x14ac:dyDescent="0.25">
      <c r="E3939" s="43">
        <f>COUNTIF($O$7:O3939,FORMULARIO!$AA$2)</f>
        <v>1</v>
      </c>
      <c r="M3939" s="46"/>
      <c r="P3939" s="16"/>
    </row>
    <row r="3940" spans="5:16" hidden="1" x14ac:dyDescent="0.25">
      <c r="E3940" s="43">
        <f>COUNTIF($O$7:O3940,FORMULARIO!$AA$2)</f>
        <v>1</v>
      </c>
      <c r="M3940" s="46"/>
      <c r="P3940" s="16"/>
    </row>
    <row r="3941" spans="5:16" hidden="1" x14ac:dyDescent="0.25">
      <c r="E3941" s="43">
        <f>COUNTIF($O$7:O3941,FORMULARIO!$AA$2)</f>
        <v>1</v>
      </c>
      <c r="M3941" s="46"/>
      <c r="P3941" s="16"/>
    </row>
    <row r="3942" spans="5:16" hidden="1" x14ac:dyDescent="0.25">
      <c r="E3942" s="43">
        <f>COUNTIF($O$7:O3942,FORMULARIO!$AA$2)</f>
        <v>1</v>
      </c>
      <c r="M3942" s="46"/>
      <c r="P3942" s="16"/>
    </row>
    <row r="3943" spans="5:16" hidden="1" x14ac:dyDescent="0.25">
      <c r="E3943" s="43">
        <f>COUNTIF($O$7:O3943,FORMULARIO!$AA$2)</f>
        <v>1</v>
      </c>
      <c r="M3943" s="46"/>
      <c r="P3943" s="16"/>
    </row>
    <row r="3944" spans="5:16" hidden="1" x14ac:dyDescent="0.25">
      <c r="E3944" s="43">
        <f>COUNTIF($O$7:O3944,FORMULARIO!$AA$2)</f>
        <v>1</v>
      </c>
      <c r="M3944" s="46"/>
      <c r="P3944" s="16"/>
    </row>
    <row r="3945" spans="5:16" hidden="1" x14ac:dyDescent="0.25">
      <c r="E3945" s="43">
        <f>COUNTIF($O$7:O3945,FORMULARIO!$AA$2)</f>
        <v>1</v>
      </c>
      <c r="M3945" s="46"/>
      <c r="P3945" s="16"/>
    </row>
    <row r="3946" spans="5:16" hidden="1" x14ac:dyDescent="0.25">
      <c r="E3946" s="43">
        <f>COUNTIF($O$7:O3946,FORMULARIO!$AA$2)</f>
        <v>1</v>
      </c>
      <c r="M3946" s="46"/>
      <c r="P3946" s="16"/>
    </row>
    <row r="3947" spans="5:16" hidden="1" x14ac:dyDescent="0.25">
      <c r="E3947" s="43">
        <f>COUNTIF($O$7:O3947,FORMULARIO!$AA$2)</f>
        <v>1</v>
      </c>
      <c r="M3947" s="46"/>
      <c r="P3947" s="16"/>
    </row>
    <row r="3948" spans="5:16" hidden="1" x14ac:dyDescent="0.25">
      <c r="E3948" s="43">
        <f>COUNTIF($O$7:O3948,FORMULARIO!$AA$2)</f>
        <v>1</v>
      </c>
      <c r="M3948" s="46"/>
      <c r="P3948" s="16"/>
    </row>
    <row r="3949" spans="5:16" hidden="1" x14ac:dyDescent="0.25">
      <c r="E3949" s="43">
        <f>COUNTIF($O$7:O3949,FORMULARIO!$AA$2)</f>
        <v>1</v>
      </c>
      <c r="M3949" s="46"/>
      <c r="P3949" s="16"/>
    </row>
    <row r="3950" spans="5:16" hidden="1" x14ac:dyDescent="0.25">
      <c r="E3950" s="43">
        <f>COUNTIF($O$7:O3950,FORMULARIO!$AA$2)</f>
        <v>1</v>
      </c>
      <c r="M3950" s="46"/>
      <c r="P3950" s="16"/>
    </row>
    <row r="3951" spans="5:16" hidden="1" x14ac:dyDescent="0.25">
      <c r="E3951" s="43">
        <f>COUNTIF($O$7:O3951,FORMULARIO!$AA$2)</f>
        <v>1</v>
      </c>
      <c r="M3951" s="46"/>
      <c r="P3951" s="16"/>
    </row>
    <row r="3952" spans="5:16" hidden="1" x14ac:dyDescent="0.25">
      <c r="E3952" s="43">
        <f>COUNTIF($O$7:O3952,FORMULARIO!$AA$2)</f>
        <v>1</v>
      </c>
      <c r="M3952" s="46"/>
      <c r="P3952" s="16"/>
    </row>
    <row r="3953" spans="5:16" hidden="1" x14ac:dyDescent="0.25">
      <c r="E3953" s="43">
        <f>COUNTIF($O$7:O3953,FORMULARIO!$AA$2)</f>
        <v>1</v>
      </c>
      <c r="M3953" s="46"/>
      <c r="P3953" s="16"/>
    </row>
    <row r="3954" spans="5:16" hidden="1" x14ac:dyDescent="0.25">
      <c r="E3954" s="43">
        <f>COUNTIF($O$7:O3954,FORMULARIO!$AA$2)</f>
        <v>1</v>
      </c>
      <c r="M3954" s="46"/>
      <c r="P3954" s="16"/>
    </row>
    <row r="3955" spans="5:16" hidden="1" x14ac:dyDescent="0.25">
      <c r="E3955" s="43">
        <f>COUNTIF($O$7:O3955,FORMULARIO!$AA$2)</f>
        <v>1</v>
      </c>
      <c r="M3955" s="46"/>
      <c r="P3955" s="16"/>
    </row>
    <row r="3956" spans="5:16" hidden="1" x14ac:dyDescent="0.25">
      <c r="E3956" s="43">
        <f>COUNTIF($O$7:O3956,FORMULARIO!$AA$2)</f>
        <v>1</v>
      </c>
      <c r="M3956" s="46"/>
      <c r="P3956" s="16"/>
    </row>
    <row r="3957" spans="5:16" hidden="1" x14ac:dyDescent="0.25">
      <c r="E3957" s="43">
        <f>COUNTIF($O$7:O3957,FORMULARIO!$AA$2)</f>
        <v>1</v>
      </c>
      <c r="M3957" s="46"/>
      <c r="P3957" s="16"/>
    </row>
    <row r="3958" spans="5:16" hidden="1" x14ac:dyDescent="0.25">
      <c r="E3958" s="43">
        <f>COUNTIF($O$7:O3958,FORMULARIO!$AA$2)</f>
        <v>1</v>
      </c>
      <c r="M3958" s="46"/>
      <c r="P3958" s="16"/>
    </row>
    <row r="3959" spans="5:16" hidden="1" x14ac:dyDescent="0.25">
      <c r="E3959" s="43">
        <f>COUNTIF($O$7:O3959,FORMULARIO!$AA$2)</f>
        <v>1</v>
      </c>
      <c r="M3959" s="46"/>
      <c r="P3959" s="16"/>
    </row>
    <row r="3960" spans="5:16" hidden="1" x14ac:dyDescent="0.25">
      <c r="E3960" s="43">
        <f>COUNTIF($O$7:O3960,FORMULARIO!$AA$2)</f>
        <v>1</v>
      </c>
      <c r="M3960" s="46"/>
      <c r="P3960" s="16"/>
    </row>
    <row r="3961" spans="5:16" hidden="1" x14ac:dyDescent="0.25">
      <c r="E3961" s="43">
        <f>COUNTIF($O$7:O3961,FORMULARIO!$AA$2)</f>
        <v>1</v>
      </c>
      <c r="M3961" s="46"/>
      <c r="P3961" s="16"/>
    </row>
    <row r="3962" spans="5:16" hidden="1" x14ac:dyDescent="0.25">
      <c r="E3962" s="43">
        <f>COUNTIF($O$7:O3962,FORMULARIO!$AA$2)</f>
        <v>1</v>
      </c>
      <c r="M3962" s="46"/>
      <c r="P3962" s="16"/>
    </row>
    <row r="3963" spans="5:16" hidden="1" x14ac:dyDescent="0.25">
      <c r="E3963" s="43">
        <f>COUNTIF($O$7:O3963,FORMULARIO!$AA$2)</f>
        <v>1</v>
      </c>
      <c r="M3963" s="46"/>
      <c r="P3963" s="16"/>
    </row>
    <row r="3964" spans="5:16" hidden="1" x14ac:dyDescent="0.25">
      <c r="E3964" s="43">
        <f>COUNTIF($O$7:O3964,FORMULARIO!$AA$2)</f>
        <v>1</v>
      </c>
      <c r="M3964" s="46"/>
      <c r="P3964" s="16"/>
    </row>
    <row r="3965" spans="5:16" hidden="1" x14ac:dyDescent="0.25">
      <c r="E3965" s="43">
        <f>COUNTIF($O$7:O3965,FORMULARIO!$AA$2)</f>
        <v>1</v>
      </c>
      <c r="M3965" s="46"/>
      <c r="P3965" s="16"/>
    </row>
    <row r="3966" spans="5:16" hidden="1" x14ac:dyDescent="0.25">
      <c r="E3966" s="43">
        <f>COUNTIF($O$7:O3966,FORMULARIO!$AA$2)</f>
        <v>1</v>
      </c>
      <c r="M3966" s="46"/>
      <c r="P3966" s="16"/>
    </row>
    <row r="3967" spans="5:16" hidden="1" x14ac:dyDescent="0.25">
      <c r="E3967" s="43">
        <f>COUNTIF($O$7:O3967,FORMULARIO!$AA$2)</f>
        <v>1</v>
      </c>
      <c r="M3967" s="46"/>
      <c r="P3967" s="16"/>
    </row>
    <row r="3968" spans="5:16" hidden="1" x14ac:dyDescent="0.25">
      <c r="E3968" s="43">
        <f>COUNTIF($O$7:O3968,FORMULARIO!$AA$2)</f>
        <v>1</v>
      </c>
      <c r="M3968" s="46"/>
      <c r="P3968" s="16"/>
    </row>
    <row r="3969" spans="5:16" hidden="1" x14ac:dyDescent="0.25">
      <c r="E3969" s="43">
        <f>COUNTIF($O$7:O3969,FORMULARIO!$AA$2)</f>
        <v>1</v>
      </c>
      <c r="M3969" s="46"/>
      <c r="P3969" s="16"/>
    </row>
    <row r="3970" spans="5:16" hidden="1" x14ac:dyDescent="0.25">
      <c r="E3970" s="43">
        <f>COUNTIF($O$7:O3970,FORMULARIO!$AA$2)</f>
        <v>1</v>
      </c>
      <c r="M3970" s="46"/>
      <c r="P3970" s="16"/>
    </row>
    <row r="3971" spans="5:16" hidden="1" x14ac:dyDescent="0.25">
      <c r="E3971" s="43">
        <f>COUNTIF($O$7:O3971,FORMULARIO!$AA$2)</f>
        <v>1</v>
      </c>
      <c r="M3971" s="46"/>
      <c r="P3971" s="16"/>
    </row>
    <row r="3972" spans="5:16" hidden="1" x14ac:dyDescent="0.25">
      <c r="E3972" s="43">
        <f>COUNTIF($O$7:O3972,FORMULARIO!$AA$2)</f>
        <v>1</v>
      </c>
      <c r="M3972" s="46"/>
      <c r="P3972" s="16"/>
    </row>
    <row r="3973" spans="5:16" hidden="1" x14ac:dyDescent="0.25">
      <c r="E3973" s="43">
        <f>COUNTIF($O$7:O3973,FORMULARIO!$AA$2)</f>
        <v>1</v>
      </c>
      <c r="M3973" s="46"/>
      <c r="P3973" s="16"/>
    </row>
    <row r="3974" spans="5:16" hidden="1" x14ac:dyDescent="0.25">
      <c r="E3974" s="43">
        <f>COUNTIF($O$7:O3974,FORMULARIO!$AA$2)</f>
        <v>1</v>
      </c>
      <c r="M3974" s="46"/>
      <c r="P3974" s="16"/>
    </row>
    <row r="3975" spans="5:16" hidden="1" x14ac:dyDescent="0.25">
      <c r="E3975" s="43">
        <f>COUNTIF($O$7:O3975,FORMULARIO!$AA$2)</f>
        <v>1</v>
      </c>
      <c r="M3975" s="46"/>
      <c r="P3975" s="16"/>
    </row>
    <row r="3976" spans="5:16" hidden="1" x14ac:dyDescent="0.25">
      <c r="E3976" s="43">
        <f>COUNTIF($O$7:O3976,FORMULARIO!$AA$2)</f>
        <v>1</v>
      </c>
      <c r="M3976" s="46"/>
      <c r="P3976" s="16"/>
    </row>
    <row r="3977" spans="5:16" hidden="1" x14ac:dyDescent="0.25">
      <c r="E3977" s="43">
        <f>COUNTIF($O$7:O3977,FORMULARIO!$AA$2)</f>
        <v>1</v>
      </c>
      <c r="M3977" s="46"/>
      <c r="P3977" s="16"/>
    </row>
    <row r="3978" spans="5:16" hidden="1" x14ac:dyDescent="0.25">
      <c r="E3978" s="43">
        <f>COUNTIF($O$7:O3978,FORMULARIO!$AA$2)</f>
        <v>1</v>
      </c>
      <c r="M3978" s="46"/>
      <c r="P3978" s="16"/>
    </row>
    <row r="3979" spans="5:16" hidden="1" x14ac:dyDescent="0.25">
      <c r="E3979" s="43">
        <f>COUNTIF($O$7:O3979,FORMULARIO!$AA$2)</f>
        <v>1</v>
      </c>
      <c r="M3979" s="46"/>
      <c r="P3979" s="16"/>
    </row>
    <row r="3980" spans="5:16" hidden="1" x14ac:dyDescent="0.25">
      <c r="E3980" s="43">
        <f>COUNTIF($O$7:O3980,FORMULARIO!$AA$2)</f>
        <v>1</v>
      </c>
      <c r="M3980" s="46"/>
      <c r="P3980" s="16"/>
    </row>
    <row r="3981" spans="5:16" hidden="1" x14ac:dyDescent="0.25">
      <c r="E3981" s="43">
        <f>COUNTIF($O$7:O3981,FORMULARIO!$AA$2)</f>
        <v>1</v>
      </c>
      <c r="M3981" s="46"/>
      <c r="P3981" s="16"/>
    </row>
    <row r="3982" spans="5:16" hidden="1" x14ac:dyDescent="0.25">
      <c r="E3982" s="43">
        <f>COUNTIF($O$7:O3982,FORMULARIO!$AA$2)</f>
        <v>1</v>
      </c>
      <c r="M3982" s="46"/>
      <c r="P3982" s="16"/>
    </row>
    <row r="3983" spans="5:16" hidden="1" x14ac:dyDescent="0.25">
      <c r="E3983" s="43">
        <f>COUNTIF($O$7:O3983,FORMULARIO!$AA$2)</f>
        <v>1</v>
      </c>
      <c r="M3983" s="46"/>
      <c r="P3983" s="16"/>
    </row>
    <row r="3984" spans="5:16" hidden="1" x14ac:dyDescent="0.25">
      <c r="E3984" s="43">
        <f>COUNTIF($O$7:O3984,FORMULARIO!$AA$2)</f>
        <v>1</v>
      </c>
      <c r="M3984" s="46"/>
      <c r="P3984" s="16"/>
    </row>
    <row r="3985" spans="5:16" hidden="1" x14ac:dyDescent="0.25">
      <c r="E3985" s="43">
        <f>COUNTIF($O$7:O3985,FORMULARIO!$AA$2)</f>
        <v>1</v>
      </c>
      <c r="M3985" s="46"/>
      <c r="P3985" s="16"/>
    </row>
    <row r="3986" spans="5:16" hidden="1" x14ac:dyDescent="0.25">
      <c r="E3986" s="43">
        <f>COUNTIF($O$7:O3986,FORMULARIO!$AA$2)</f>
        <v>1</v>
      </c>
      <c r="M3986" s="46"/>
      <c r="P3986" s="16"/>
    </row>
    <row r="3987" spans="5:16" hidden="1" x14ac:dyDescent="0.25">
      <c r="E3987" s="43">
        <f>COUNTIF($O$7:O3987,FORMULARIO!$AA$2)</f>
        <v>1</v>
      </c>
      <c r="M3987" s="46"/>
      <c r="P3987" s="16"/>
    </row>
    <row r="3988" spans="5:16" hidden="1" x14ac:dyDescent="0.25">
      <c r="E3988" s="43">
        <f>COUNTIF($O$7:O3988,FORMULARIO!$AA$2)</f>
        <v>1</v>
      </c>
      <c r="M3988" s="46"/>
      <c r="P3988" s="16"/>
    </row>
    <row r="3989" spans="5:16" hidden="1" x14ac:dyDescent="0.25">
      <c r="E3989" s="43">
        <f>COUNTIF($O$7:O3989,FORMULARIO!$AA$2)</f>
        <v>1</v>
      </c>
      <c r="M3989" s="46"/>
      <c r="P3989" s="16"/>
    </row>
    <row r="3990" spans="5:16" hidden="1" x14ac:dyDescent="0.25">
      <c r="E3990" s="43">
        <f>COUNTIF($O$7:O3990,FORMULARIO!$AA$2)</f>
        <v>1</v>
      </c>
      <c r="M3990" s="46"/>
      <c r="P3990" s="16"/>
    </row>
    <row r="3991" spans="5:16" hidden="1" x14ac:dyDescent="0.25">
      <c r="E3991" s="43">
        <f>COUNTIF($O$7:O3991,FORMULARIO!$AA$2)</f>
        <v>1</v>
      </c>
      <c r="M3991" s="46"/>
      <c r="P3991" s="16"/>
    </row>
    <row r="3992" spans="5:16" hidden="1" x14ac:dyDescent="0.25">
      <c r="E3992" s="43">
        <f>COUNTIF($O$7:O3992,FORMULARIO!$AA$2)</f>
        <v>1</v>
      </c>
      <c r="M3992" s="46"/>
      <c r="P3992" s="16"/>
    </row>
    <row r="3993" spans="5:16" hidden="1" x14ac:dyDescent="0.25">
      <c r="E3993" s="43">
        <f>COUNTIF($O$7:O3993,FORMULARIO!$AA$2)</f>
        <v>1</v>
      </c>
      <c r="M3993" s="46"/>
      <c r="P3993" s="16"/>
    </row>
    <row r="3994" spans="5:16" hidden="1" x14ac:dyDescent="0.25">
      <c r="E3994" s="43">
        <f>COUNTIF($O$7:O3994,FORMULARIO!$AA$2)</f>
        <v>1</v>
      </c>
      <c r="M3994" s="46"/>
      <c r="P3994" s="16"/>
    </row>
    <row r="3995" spans="5:16" hidden="1" x14ac:dyDescent="0.25">
      <c r="E3995" s="43">
        <f>COUNTIF($O$7:O3995,FORMULARIO!$AA$2)</f>
        <v>1</v>
      </c>
      <c r="M3995" s="46"/>
      <c r="P3995" s="16"/>
    </row>
    <row r="3996" spans="5:16" hidden="1" x14ac:dyDescent="0.25">
      <c r="E3996" s="43">
        <f>COUNTIF($O$7:O3996,FORMULARIO!$AA$2)</f>
        <v>1</v>
      </c>
      <c r="M3996" s="46"/>
      <c r="P3996" s="16"/>
    </row>
    <row r="3997" spans="5:16" hidden="1" x14ac:dyDescent="0.25">
      <c r="E3997" s="43">
        <f>COUNTIF($O$7:O3997,FORMULARIO!$AA$2)</f>
        <v>1</v>
      </c>
      <c r="M3997" s="46"/>
      <c r="P3997" s="16"/>
    </row>
    <row r="3998" spans="5:16" hidden="1" x14ac:dyDescent="0.25">
      <c r="E3998" s="43">
        <f>COUNTIF($O$7:O3998,FORMULARIO!$AA$2)</f>
        <v>1</v>
      </c>
      <c r="M3998" s="46"/>
      <c r="P3998" s="16"/>
    </row>
    <row r="3999" spans="5:16" hidden="1" x14ac:dyDescent="0.25">
      <c r="E3999" s="43">
        <f>COUNTIF($O$7:O3999,FORMULARIO!$AA$2)</f>
        <v>1</v>
      </c>
      <c r="M3999" s="46"/>
      <c r="P3999" s="16"/>
    </row>
    <row r="4000" spans="5:16" hidden="1" x14ac:dyDescent="0.25">
      <c r="E4000" s="43">
        <f>COUNTIF($O$7:O4000,FORMULARIO!$AA$2)</f>
        <v>1</v>
      </c>
      <c r="M4000" s="46"/>
      <c r="P4000" s="16"/>
    </row>
    <row r="4001" spans="5:16" hidden="1" x14ac:dyDescent="0.25">
      <c r="E4001" s="43">
        <f>COUNTIF($O$7:O4001,FORMULARIO!$AA$2)</f>
        <v>1</v>
      </c>
      <c r="M4001" s="46"/>
      <c r="P4001" s="16"/>
    </row>
    <row r="4002" spans="5:16" hidden="1" x14ac:dyDescent="0.25">
      <c r="E4002" s="43">
        <f>COUNTIF($O$7:O4002,FORMULARIO!$AA$2)</f>
        <v>1</v>
      </c>
      <c r="M4002" s="46"/>
      <c r="P4002" s="16"/>
    </row>
    <row r="4003" spans="5:16" hidden="1" x14ac:dyDescent="0.25">
      <c r="E4003" s="43">
        <f>COUNTIF($O$7:O4003,FORMULARIO!$AA$2)</f>
        <v>1</v>
      </c>
      <c r="M4003" s="46"/>
      <c r="P4003" s="16"/>
    </row>
    <row r="4004" spans="5:16" hidden="1" x14ac:dyDescent="0.25">
      <c r="E4004" s="43">
        <f>COUNTIF($O$7:O4004,FORMULARIO!$AA$2)</f>
        <v>1</v>
      </c>
      <c r="M4004" s="46"/>
      <c r="P4004" s="16"/>
    </row>
    <row r="4005" spans="5:16" hidden="1" x14ac:dyDescent="0.25">
      <c r="E4005" s="43">
        <f>COUNTIF($O$7:O4005,FORMULARIO!$AA$2)</f>
        <v>1</v>
      </c>
      <c r="M4005" s="46"/>
      <c r="P4005" s="16"/>
    </row>
    <row r="4006" spans="5:16" hidden="1" x14ac:dyDescent="0.25">
      <c r="E4006" s="43">
        <f>COUNTIF($O$7:O4006,FORMULARIO!$AA$2)</f>
        <v>1</v>
      </c>
      <c r="M4006" s="46"/>
      <c r="P4006" s="16"/>
    </row>
    <row r="4007" spans="5:16" hidden="1" x14ac:dyDescent="0.25">
      <c r="E4007" s="43">
        <f>COUNTIF($O$7:O4007,FORMULARIO!$AA$2)</f>
        <v>1</v>
      </c>
      <c r="M4007" s="46"/>
      <c r="P4007" s="16"/>
    </row>
    <row r="4008" spans="5:16" hidden="1" x14ac:dyDescent="0.25">
      <c r="E4008" s="43">
        <f>COUNTIF($O$7:O4008,FORMULARIO!$AA$2)</f>
        <v>1</v>
      </c>
      <c r="M4008" s="46"/>
      <c r="P4008" s="16"/>
    </row>
    <row r="4009" spans="5:16" hidden="1" x14ac:dyDescent="0.25">
      <c r="E4009" s="43">
        <f>COUNTIF($O$7:O4009,FORMULARIO!$AA$2)</f>
        <v>1</v>
      </c>
      <c r="M4009" s="46"/>
      <c r="P4009" s="16"/>
    </row>
    <row r="4010" spans="5:16" hidden="1" x14ac:dyDescent="0.25">
      <c r="E4010" s="43">
        <f>COUNTIF($O$7:O4010,FORMULARIO!$AA$2)</f>
        <v>1</v>
      </c>
      <c r="M4010" s="46"/>
      <c r="P4010" s="16"/>
    </row>
    <row r="4011" spans="5:16" hidden="1" x14ac:dyDescent="0.25">
      <c r="E4011" s="43">
        <f>COUNTIF($O$7:O4011,FORMULARIO!$AA$2)</f>
        <v>1</v>
      </c>
      <c r="M4011" s="46"/>
      <c r="P4011" s="16"/>
    </row>
    <row r="4012" spans="5:16" hidden="1" x14ac:dyDescent="0.25">
      <c r="E4012" s="43">
        <f>COUNTIF($O$7:O4012,FORMULARIO!$AA$2)</f>
        <v>1</v>
      </c>
      <c r="M4012" s="46"/>
      <c r="P4012" s="16"/>
    </row>
    <row r="4013" spans="5:16" hidden="1" x14ac:dyDescent="0.25">
      <c r="E4013" s="43">
        <f>COUNTIF($O$7:O4013,FORMULARIO!$AA$2)</f>
        <v>1</v>
      </c>
      <c r="M4013" s="46"/>
      <c r="P4013" s="16"/>
    </row>
    <row r="4014" spans="5:16" hidden="1" x14ac:dyDescent="0.25">
      <c r="E4014" s="43">
        <f>COUNTIF($O$7:O4014,FORMULARIO!$AA$2)</f>
        <v>1</v>
      </c>
      <c r="M4014" s="46"/>
      <c r="P4014" s="16"/>
    </row>
    <row r="4015" spans="5:16" hidden="1" x14ac:dyDescent="0.25">
      <c r="E4015" s="43">
        <f>COUNTIF($O$7:O4015,FORMULARIO!$AA$2)</f>
        <v>1</v>
      </c>
      <c r="M4015" s="46"/>
      <c r="P4015" s="16"/>
    </row>
    <row r="4016" spans="5:16" hidden="1" x14ac:dyDescent="0.25">
      <c r="E4016" s="43">
        <f>COUNTIF($O$7:O4016,FORMULARIO!$AA$2)</f>
        <v>1</v>
      </c>
      <c r="M4016" s="46"/>
      <c r="P4016" s="16"/>
    </row>
    <row r="4017" spans="5:16" hidden="1" x14ac:dyDescent="0.25">
      <c r="E4017" s="43">
        <f>COUNTIF($O$7:O4017,FORMULARIO!$AA$2)</f>
        <v>1</v>
      </c>
      <c r="M4017" s="46"/>
      <c r="P4017" s="16"/>
    </row>
    <row r="4018" spans="5:16" hidden="1" x14ac:dyDescent="0.25">
      <c r="E4018" s="43">
        <f>COUNTIF($O$7:O4018,FORMULARIO!$AA$2)</f>
        <v>1</v>
      </c>
      <c r="M4018" s="46"/>
      <c r="P4018" s="16"/>
    </row>
    <row r="4019" spans="5:16" hidden="1" x14ac:dyDescent="0.25">
      <c r="E4019" s="43">
        <f>COUNTIF($O$7:O4019,FORMULARIO!$AA$2)</f>
        <v>1</v>
      </c>
      <c r="M4019" s="46"/>
      <c r="P4019" s="16"/>
    </row>
    <row r="4020" spans="5:16" hidden="1" x14ac:dyDescent="0.25">
      <c r="E4020" s="43">
        <f>COUNTIF($O$7:O4020,FORMULARIO!$AA$2)</f>
        <v>1</v>
      </c>
      <c r="M4020" s="46"/>
      <c r="P4020" s="16"/>
    </row>
    <row r="4021" spans="5:16" hidden="1" x14ac:dyDescent="0.25">
      <c r="E4021" s="43">
        <f>COUNTIF($O$7:O4021,FORMULARIO!$AA$2)</f>
        <v>1</v>
      </c>
      <c r="M4021" s="46"/>
      <c r="P4021" s="16"/>
    </row>
    <row r="4022" spans="5:16" hidden="1" x14ac:dyDescent="0.25">
      <c r="E4022" s="43">
        <f>COUNTIF($O$7:O4022,FORMULARIO!$AA$2)</f>
        <v>1</v>
      </c>
      <c r="M4022" s="46"/>
      <c r="P4022" s="16"/>
    </row>
    <row r="4023" spans="5:16" hidden="1" x14ac:dyDescent="0.25">
      <c r="E4023" s="43">
        <f>COUNTIF($O$7:O4023,FORMULARIO!$AA$2)</f>
        <v>1</v>
      </c>
      <c r="M4023" s="46"/>
      <c r="P4023" s="16"/>
    </row>
    <row r="4024" spans="5:16" hidden="1" x14ac:dyDescent="0.25">
      <c r="E4024" s="43">
        <f>COUNTIF($O$7:O4024,FORMULARIO!$AA$2)</f>
        <v>1</v>
      </c>
      <c r="M4024" s="46"/>
      <c r="P4024" s="16"/>
    </row>
    <row r="4025" spans="5:16" hidden="1" x14ac:dyDescent="0.25">
      <c r="E4025" s="43">
        <f>COUNTIF($O$7:O4025,FORMULARIO!$AA$2)</f>
        <v>1</v>
      </c>
      <c r="M4025" s="46"/>
      <c r="P4025" s="16"/>
    </row>
    <row r="4026" spans="5:16" hidden="1" x14ac:dyDescent="0.25">
      <c r="E4026" s="43">
        <f>COUNTIF($O$7:O4026,FORMULARIO!$AA$2)</f>
        <v>1</v>
      </c>
      <c r="M4026" s="46"/>
      <c r="P4026" s="16"/>
    </row>
    <row r="4027" spans="5:16" hidden="1" x14ac:dyDescent="0.25">
      <c r="E4027" s="43">
        <f>COUNTIF($O$7:O4027,FORMULARIO!$AA$2)</f>
        <v>1</v>
      </c>
      <c r="M4027" s="46"/>
      <c r="P4027" s="16"/>
    </row>
    <row r="4028" spans="5:16" hidden="1" x14ac:dyDescent="0.25">
      <c r="E4028" s="43">
        <f>COUNTIF($O$7:O4028,FORMULARIO!$AA$2)</f>
        <v>1</v>
      </c>
      <c r="M4028" s="46"/>
      <c r="P4028" s="16"/>
    </row>
    <row r="4029" spans="5:16" hidden="1" x14ac:dyDescent="0.25">
      <c r="E4029" s="43">
        <f>COUNTIF($O$7:O4029,FORMULARIO!$AA$2)</f>
        <v>1</v>
      </c>
      <c r="M4029" s="46"/>
      <c r="P4029" s="16"/>
    </row>
    <row r="4030" spans="5:16" hidden="1" x14ac:dyDescent="0.25">
      <c r="E4030" s="43">
        <f>COUNTIF($O$7:O4030,FORMULARIO!$AA$2)</f>
        <v>1</v>
      </c>
      <c r="M4030" s="46"/>
      <c r="P4030" s="16"/>
    </row>
    <row r="4031" spans="5:16" hidden="1" x14ac:dyDescent="0.25">
      <c r="E4031" s="43">
        <f>COUNTIF($O$7:O4031,FORMULARIO!$AA$2)</f>
        <v>1</v>
      </c>
      <c r="M4031" s="46"/>
      <c r="P4031" s="16"/>
    </row>
    <row r="4032" spans="5:16" hidden="1" x14ac:dyDescent="0.25">
      <c r="E4032" s="43">
        <f>COUNTIF($O$7:O4032,FORMULARIO!$AA$2)</f>
        <v>1</v>
      </c>
      <c r="M4032" s="46"/>
      <c r="P4032" s="16"/>
    </row>
    <row r="4033" spans="5:16" hidden="1" x14ac:dyDescent="0.25">
      <c r="E4033" s="43">
        <f>COUNTIF($O$7:O4033,FORMULARIO!$AA$2)</f>
        <v>1</v>
      </c>
      <c r="M4033" s="46"/>
      <c r="P4033" s="16"/>
    </row>
    <row r="4034" spans="5:16" hidden="1" x14ac:dyDescent="0.25">
      <c r="E4034" s="43">
        <f>COUNTIF($O$7:O4034,FORMULARIO!$AA$2)</f>
        <v>1</v>
      </c>
      <c r="M4034" s="46"/>
      <c r="P4034" s="16"/>
    </row>
    <row r="4035" spans="5:16" hidden="1" x14ac:dyDescent="0.25">
      <c r="E4035" s="43">
        <f>COUNTIF($O$7:O4035,FORMULARIO!$AA$2)</f>
        <v>1</v>
      </c>
      <c r="M4035" s="46"/>
      <c r="P4035" s="16"/>
    </row>
    <row r="4036" spans="5:16" hidden="1" x14ac:dyDescent="0.25">
      <c r="E4036" s="43">
        <f>COUNTIF($O$7:O4036,FORMULARIO!$AA$2)</f>
        <v>1</v>
      </c>
      <c r="M4036" s="46"/>
      <c r="P4036" s="16"/>
    </row>
    <row r="4037" spans="5:16" hidden="1" x14ac:dyDescent="0.25">
      <c r="E4037" s="43">
        <f>COUNTIF($O$7:O4037,FORMULARIO!$AA$2)</f>
        <v>1</v>
      </c>
      <c r="M4037" s="46"/>
      <c r="P4037" s="16"/>
    </row>
    <row r="4038" spans="5:16" hidden="1" x14ac:dyDescent="0.25">
      <c r="E4038" s="43">
        <f>COUNTIF($O$7:O4038,FORMULARIO!$AA$2)</f>
        <v>1</v>
      </c>
      <c r="M4038" s="46"/>
      <c r="P4038" s="16"/>
    </row>
    <row r="4039" spans="5:16" hidden="1" x14ac:dyDescent="0.25">
      <c r="E4039" s="43">
        <f>COUNTIF($O$7:O4039,FORMULARIO!$AA$2)</f>
        <v>1</v>
      </c>
      <c r="M4039" s="46"/>
      <c r="P4039" s="16"/>
    </row>
    <row r="4040" spans="5:16" hidden="1" x14ac:dyDescent="0.25">
      <c r="E4040" s="43">
        <f>COUNTIF($O$7:O4040,FORMULARIO!$AA$2)</f>
        <v>1</v>
      </c>
      <c r="M4040" s="46"/>
      <c r="P4040" s="16"/>
    </row>
    <row r="4041" spans="5:16" hidden="1" x14ac:dyDescent="0.25">
      <c r="E4041" s="43">
        <f>COUNTIF($O$7:O4041,FORMULARIO!$AA$2)</f>
        <v>1</v>
      </c>
      <c r="M4041" s="46"/>
      <c r="P4041" s="16"/>
    </row>
    <row r="4042" spans="5:16" hidden="1" x14ac:dyDescent="0.25">
      <c r="E4042" s="43">
        <f>COUNTIF($O$7:O4042,FORMULARIO!$AA$2)</f>
        <v>1</v>
      </c>
      <c r="M4042" s="46"/>
      <c r="P4042" s="16"/>
    </row>
    <row r="4043" spans="5:16" hidden="1" x14ac:dyDescent="0.25">
      <c r="E4043" s="43">
        <f>COUNTIF($O$7:O4043,FORMULARIO!$AA$2)</f>
        <v>1</v>
      </c>
      <c r="M4043" s="46"/>
      <c r="P4043" s="16"/>
    </row>
    <row r="4044" spans="5:16" hidden="1" x14ac:dyDescent="0.25">
      <c r="E4044" s="43">
        <f>COUNTIF($O$7:O4044,FORMULARIO!$AA$2)</f>
        <v>1</v>
      </c>
      <c r="M4044" s="46"/>
      <c r="P4044" s="16"/>
    </row>
    <row r="4045" spans="5:16" hidden="1" x14ac:dyDescent="0.25">
      <c r="E4045" s="43">
        <f>COUNTIF($O$7:O4045,FORMULARIO!$AA$2)</f>
        <v>1</v>
      </c>
      <c r="M4045" s="46"/>
      <c r="P4045" s="16"/>
    </row>
    <row r="4046" spans="5:16" hidden="1" x14ac:dyDescent="0.25">
      <c r="E4046" s="43">
        <f>COUNTIF($O$7:O4046,FORMULARIO!$AA$2)</f>
        <v>1</v>
      </c>
      <c r="M4046" s="46"/>
      <c r="P4046" s="16"/>
    </row>
    <row r="4047" spans="5:16" hidden="1" x14ac:dyDescent="0.25">
      <c r="E4047" s="43">
        <f>COUNTIF($O$7:O4047,FORMULARIO!$AA$2)</f>
        <v>1</v>
      </c>
      <c r="M4047" s="46"/>
      <c r="P4047" s="16"/>
    </row>
    <row r="4048" spans="5:16" hidden="1" x14ac:dyDescent="0.25">
      <c r="E4048" s="43">
        <f>COUNTIF($O$7:O4048,FORMULARIO!$AA$2)</f>
        <v>1</v>
      </c>
      <c r="M4048" s="46"/>
      <c r="P4048" s="16"/>
    </row>
    <row r="4049" spans="5:16" hidden="1" x14ac:dyDescent="0.25">
      <c r="E4049" s="43">
        <f>COUNTIF($O$7:O4049,FORMULARIO!$AA$2)</f>
        <v>1</v>
      </c>
      <c r="M4049" s="46"/>
      <c r="P4049" s="16"/>
    </row>
    <row r="4050" spans="5:16" hidden="1" x14ac:dyDescent="0.25">
      <c r="E4050" s="43">
        <f>COUNTIF($O$7:O4050,FORMULARIO!$AA$2)</f>
        <v>1</v>
      </c>
      <c r="M4050" s="46"/>
      <c r="P4050" s="16"/>
    </row>
    <row r="4051" spans="5:16" hidden="1" x14ac:dyDescent="0.25">
      <c r="E4051" s="43">
        <f>COUNTIF($O$7:O4051,FORMULARIO!$AA$2)</f>
        <v>1</v>
      </c>
      <c r="M4051" s="46"/>
      <c r="P4051" s="16"/>
    </row>
    <row r="4052" spans="5:16" hidden="1" x14ac:dyDescent="0.25">
      <c r="E4052" s="43">
        <f>COUNTIF($O$7:O4052,FORMULARIO!$AA$2)</f>
        <v>1</v>
      </c>
      <c r="M4052" s="46"/>
      <c r="P4052" s="16"/>
    </row>
    <row r="4053" spans="5:16" hidden="1" x14ac:dyDescent="0.25">
      <c r="E4053" s="43">
        <f>COUNTIF($O$7:O4053,FORMULARIO!$AA$2)</f>
        <v>1</v>
      </c>
      <c r="M4053" s="46"/>
      <c r="P4053" s="16"/>
    </row>
    <row r="4054" spans="5:16" hidden="1" x14ac:dyDescent="0.25">
      <c r="E4054" s="43">
        <f>COUNTIF($O$7:O4054,FORMULARIO!$AA$2)</f>
        <v>1</v>
      </c>
      <c r="M4054" s="46"/>
      <c r="P4054" s="16"/>
    </row>
    <row r="4055" spans="5:16" hidden="1" x14ac:dyDescent="0.25">
      <c r="E4055" s="43">
        <f>COUNTIF($O$7:O4055,FORMULARIO!$AA$2)</f>
        <v>1</v>
      </c>
      <c r="M4055" s="46"/>
      <c r="P4055" s="16"/>
    </row>
    <row r="4056" spans="5:16" hidden="1" x14ac:dyDescent="0.25">
      <c r="E4056" s="43">
        <f>COUNTIF($O$7:O4056,FORMULARIO!$AA$2)</f>
        <v>1</v>
      </c>
      <c r="M4056" s="46"/>
      <c r="P4056" s="16"/>
    </row>
    <row r="4057" spans="5:16" hidden="1" x14ac:dyDescent="0.25">
      <c r="E4057" s="43">
        <f>COUNTIF($O$7:O4057,FORMULARIO!$AA$2)</f>
        <v>1</v>
      </c>
      <c r="M4057" s="46"/>
      <c r="P4057" s="16"/>
    </row>
    <row r="4058" spans="5:16" hidden="1" x14ac:dyDescent="0.25">
      <c r="E4058" s="43">
        <f>COUNTIF($O$7:O4058,FORMULARIO!$AA$2)</f>
        <v>1</v>
      </c>
      <c r="M4058" s="46"/>
      <c r="P4058" s="16"/>
    </row>
    <row r="4059" spans="5:16" hidden="1" x14ac:dyDescent="0.25">
      <c r="E4059" s="43">
        <f>COUNTIF($O$7:O4059,FORMULARIO!$AA$2)</f>
        <v>1</v>
      </c>
      <c r="M4059" s="46"/>
      <c r="P4059" s="16"/>
    </row>
    <row r="4060" spans="5:16" hidden="1" x14ac:dyDescent="0.25">
      <c r="E4060" s="43">
        <f>COUNTIF($O$7:O4060,FORMULARIO!$AA$2)</f>
        <v>1</v>
      </c>
      <c r="M4060" s="46"/>
      <c r="P4060" s="16"/>
    </row>
    <row r="4061" spans="5:16" hidden="1" x14ac:dyDescent="0.25">
      <c r="E4061" s="43">
        <f>COUNTIF($O$7:O4061,FORMULARIO!$AA$2)</f>
        <v>1</v>
      </c>
      <c r="M4061" s="46"/>
      <c r="P4061" s="16"/>
    </row>
    <row r="4062" spans="5:16" hidden="1" x14ac:dyDescent="0.25">
      <c r="E4062" s="43">
        <f>COUNTIF($O$7:O4062,FORMULARIO!$AA$2)</f>
        <v>1</v>
      </c>
      <c r="M4062" s="46"/>
      <c r="P4062" s="16"/>
    </row>
    <row r="4063" spans="5:16" hidden="1" x14ac:dyDescent="0.25">
      <c r="E4063" s="43">
        <f>COUNTIF($O$7:O4063,FORMULARIO!$AA$2)</f>
        <v>1</v>
      </c>
      <c r="M4063" s="46"/>
      <c r="P4063" s="16"/>
    </row>
    <row r="4064" spans="5:16" hidden="1" x14ac:dyDescent="0.25">
      <c r="E4064" s="43">
        <f>COUNTIF($O$7:O4064,FORMULARIO!$AA$2)</f>
        <v>1</v>
      </c>
      <c r="M4064" s="46"/>
      <c r="P4064" s="16"/>
    </row>
    <row r="4065" spans="5:16" hidden="1" x14ac:dyDescent="0.25">
      <c r="E4065" s="43">
        <f>COUNTIF($O$7:O4065,FORMULARIO!$AA$2)</f>
        <v>1</v>
      </c>
      <c r="M4065" s="46"/>
      <c r="P4065" s="16"/>
    </row>
    <row r="4066" spans="5:16" hidden="1" x14ac:dyDescent="0.25">
      <c r="E4066" s="43">
        <f>COUNTIF($O$7:O4066,FORMULARIO!$AA$2)</f>
        <v>1</v>
      </c>
      <c r="M4066" s="46"/>
      <c r="P4066" s="16"/>
    </row>
    <row r="4067" spans="5:16" hidden="1" x14ac:dyDescent="0.25">
      <c r="E4067" s="43">
        <f>COUNTIF($O$7:O4067,FORMULARIO!$AA$2)</f>
        <v>1</v>
      </c>
      <c r="M4067" s="46"/>
      <c r="P4067" s="16"/>
    </row>
    <row r="4068" spans="5:16" hidden="1" x14ac:dyDescent="0.25">
      <c r="E4068" s="43">
        <f>COUNTIF($O$7:O4068,FORMULARIO!$AA$2)</f>
        <v>1</v>
      </c>
      <c r="M4068" s="46"/>
      <c r="P4068" s="16"/>
    </row>
    <row r="4069" spans="5:16" hidden="1" x14ac:dyDescent="0.25">
      <c r="E4069" s="43">
        <f>COUNTIF($O$7:O4069,FORMULARIO!$AA$2)</f>
        <v>1</v>
      </c>
      <c r="M4069" s="46"/>
      <c r="P4069" s="16"/>
    </row>
    <row r="4070" spans="5:16" hidden="1" x14ac:dyDescent="0.25">
      <c r="E4070" s="43">
        <f>COUNTIF($O$7:O4070,FORMULARIO!$AA$2)</f>
        <v>1</v>
      </c>
      <c r="M4070" s="46"/>
      <c r="P4070" s="16"/>
    </row>
    <row r="4071" spans="5:16" hidden="1" x14ac:dyDescent="0.25">
      <c r="E4071" s="43">
        <f>COUNTIF($O$7:O4071,FORMULARIO!$AA$2)</f>
        <v>1</v>
      </c>
      <c r="M4071" s="46"/>
      <c r="P4071" s="16"/>
    </row>
    <row r="4072" spans="5:16" hidden="1" x14ac:dyDescent="0.25">
      <c r="E4072" s="43">
        <f>COUNTIF($O$7:O4072,FORMULARIO!$AA$2)</f>
        <v>1</v>
      </c>
      <c r="M4072" s="46"/>
      <c r="P4072" s="16"/>
    </row>
    <row r="4073" spans="5:16" hidden="1" x14ac:dyDescent="0.25">
      <c r="E4073" s="43">
        <f>COUNTIF($O$7:O4073,FORMULARIO!$AA$2)</f>
        <v>1</v>
      </c>
      <c r="M4073" s="46"/>
      <c r="P4073" s="16"/>
    </row>
    <row r="4074" spans="5:16" hidden="1" x14ac:dyDescent="0.25">
      <c r="E4074" s="43">
        <f>COUNTIF($O$7:O4074,FORMULARIO!$AA$2)</f>
        <v>1</v>
      </c>
      <c r="M4074" s="46"/>
      <c r="P4074" s="16"/>
    </row>
    <row r="4075" spans="5:16" hidden="1" x14ac:dyDescent="0.25">
      <c r="E4075" s="43">
        <f>COUNTIF($O$7:O4075,FORMULARIO!$AA$2)</f>
        <v>1</v>
      </c>
      <c r="M4075" s="46"/>
      <c r="P4075" s="16"/>
    </row>
    <row r="4076" spans="5:16" hidden="1" x14ac:dyDescent="0.25">
      <c r="E4076" s="43">
        <f>COUNTIF($O$7:O4076,FORMULARIO!$AA$2)</f>
        <v>1</v>
      </c>
      <c r="M4076" s="46"/>
      <c r="P4076" s="16"/>
    </row>
    <row r="4077" spans="5:16" hidden="1" x14ac:dyDescent="0.25">
      <c r="E4077" s="43">
        <f>COUNTIF($O$7:O4077,FORMULARIO!$AA$2)</f>
        <v>1</v>
      </c>
      <c r="M4077" s="46"/>
      <c r="P4077" s="16"/>
    </row>
    <row r="4078" spans="5:16" hidden="1" x14ac:dyDescent="0.25">
      <c r="E4078" s="43">
        <f>COUNTIF($O$7:O4078,FORMULARIO!$AA$2)</f>
        <v>1</v>
      </c>
      <c r="M4078" s="46"/>
      <c r="P4078" s="16"/>
    </row>
    <row r="4079" spans="5:16" hidden="1" x14ac:dyDescent="0.25">
      <c r="E4079" s="43">
        <f>COUNTIF($O$7:O4079,FORMULARIO!$AA$2)</f>
        <v>1</v>
      </c>
      <c r="M4079" s="46"/>
      <c r="P4079" s="16"/>
    </row>
    <row r="4080" spans="5:16" hidden="1" x14ac:dyDescent="0.25">
      <c r="E4080" s="43">
        <f>COUNTIF($O$7:O4080,FORMULARIO!$AA$2)</f>
        <v>1</v>
      </c>
      <c r="M4080" s="46"/>
      <c r="P4080" s="16"/>
    </row>
    <row r="4081" spans="5:16" hidden="1" x14ac:dyDescent="0.25">
      <c r="E4081" s="43">
        <f>COUNTIF($O$7:O4081,FORMULARIO!$AA$2)</f>
        <v>1</v>
      </c>
      <c r="M4081" s="46"/>
      <c r="P4081" s="16"/>
    </row>
    <row r="4082" spans="5:16" hidden="1" x14ac:dyDescent="0.25">
      <c r="E4082" s="43">
        <f>COUNTIF($O$7:O4082,FORMULARIO!$AA$2)</f>
        <v>1</v>
      </c>
      <c r="M4082" s="46"/>
      <c r="P4082" s="16"/>
    </row>
    <row r="4083" spans="5:16" hidden="1" x14ac:dyDescent="0.25">
      <c r="E4083" s="43">
        <f>COUNTIF($O$7:O4083,FORMULARIO!$AA$2)</f>
        <v>1</v>
      </c>
      <c r="M4083" s="46"/>
      <c r="P4083" s="16"/>
    </row>
    <row r="4084" spans="5:16" hidden="1" x14ac:dyDescent="0.25">
      <c r="E4084" s="43">
        <f>COUNTIF($O$7:O4084,FORMULARIO!$AA$2)</f>
        <v>1</v>
      </c>
      <c r="M4084" s="46"/>
      <c r="P4084" s="16"/>
    </row>
    <row r="4085" spans="5:16" hidden="1" x14ac:dyDescent="0.25">
      <c r="E4085" s="43">
        <f>COUNTIF($O$7:O4085,FORMULARIO!$AA$2)</f>
        <v>1</v>
      </c>
      <c r="M4085" s="46"/>
      <c r="P4085" s="16"/>
    </row>
    <row r="4086" spans="5:16" hidden="1" x14ac:dyDescent="0.25">
      <c r="E4086" s="43">
        <f>COUNTIF($O$7:O4086,FORMULARIO!$AA$2)</f>
        <v>1</v>
      </c>
      <c r="M4086" s="46"/>
      <c r="P4086" s="16"/>
    </row>
    <row r="4087" spans="5:16" hidden="1" x14ac:dyDescent="0.25">
      <c r="E4087" s="43">
        <f>COUNTIF($O$7:O4087,FORMULARIO!$AA$2)</f>
        <v>1</v>
      </c>
      <c r="M4087" s="46"/>
      <c r="P4087" s="16"/>
    </row>
    <row r="4088" spans="5:16" hidden="1" x14ac:dyDescent="0.25">
      <c r="E4088" s="43">
        <f>COUNTIF($O$7:O4088,FORMULARIO!$AA$2)</f>
        <v>1</v>
      </c>
      <c r="M4088" s="46"/>
      <c r="P4088" s="16"/>
    </row>
    <row r="4089" spans="5:16" hidden="1" x14ac:dyDescent="0.25">
      <c r="E4089" s="43">
        <f>COUNTIF($O$7:O4089,FORMULARIO!$AA$2)</f>
        <v>1</v>
      </c>
      <c r="M4089" s="46"/>
      <c r="P4089" s="16"/>
    </row>
    <row r="4090" spans="5:16" hidden="1" x14ac:dyDescent="0.25">
      <c r="E4090" s="43">
        <f>COUNTIF($O$7:O4090,FORMULARIO!$AA$2)</f>
        <v>1</v>
      </c>
      <c r="M4090" s="46"/>
      <c r="P4090" s="16"/>
    </row>
    <row r="4091" spans="5:16" hidden="1" x14ac:dyDescent="0.25">
      <c r="E4091" s="43">
        <f>COUNTIF($O$7:O4091,FORMULARIO!$AA$2)</f>
        <v>1</v>
      </c>
      <c r="M4091" s="46"/>
      <c r="P4091" s="16"/>
    </row>
    <row r="4092" spans="5:16" hidden="1" x14ac:dyDescent="0.25">
      <c r="E4092" s="43">
        <f>COUNTIF($O$7:O4092,FORMULARIO!$AA$2)</f>
        <v>1</v>
      </c>
      <c r="M4092" s="46"/>
      <c r="P4092" s="16"/>
    </row>
    <row r="4093" spans="5:16" hidden="1" x14ac:dyDescent="0.25">
      <c r="E4093" s="43">
        <f>COUNTIF($O$7:O4093,FORMULARIO!$AA$2)</f>
        <v>1</v>
      </c>
      <c r="M4093" s="46"/>
      <c r="P4093" s="16"/>
    </row>
    <row r="4094" spans="5:16" hidden="1" x14ac:dyDescent="0.25">
      <c r="E4094" s="43">
        <f>COUNTIF($O$7:O4094,FORMULARIO!$AA$2)</f>
        <v>1</v>
      </c>
      <c r="M4094" s="46"/>
      <c r="P4094" s="16"/>
    </row>
    <row r="4095" spans="5:16" hidden="1" x14ac:dyDescent="0.25">
      <c r="E4095" s="43">
        <f>COUNTIF($O$7:O4095,FORMULARIO!$AA$2)</f>
        <v>1</v>
      </c>
      <c r="M4095" s="46"/>
      <c r="P4095" s="16"/>
    </row>
    <row r="4096" spans="5:16" hidden="1" x14ac:dyDescent="0.25">
      <c r="E4096" s="43">
        <f>COUNTIF($O$7:O4096,FORMULARIO!$AA$2)</f>
        <v>1</v>
      </c>
      <c r="M4096" s="46"/>
      <c r="P4096" s="16"/>
    </row>
    <row r="4097" spans="5:16" hidden="1" x14ac:dyDescent="0.25">
      <c r="E4097" s="43">
        <f>COUNTIF($O$7:O4097,FORMULARIO!$AA$2)</f>
        <v>1</v>
      </c>
      <c r="M4097" s="46"/>
      <c r="P4097" s="16"/>
    </row>
    <row r="4098" spans="5:16" hidden="1" x14ac:dyDescent="0.25">
      <c r="E4098" s="43">
        <f>COUNTIF($O$7:O4098,FORMULARIO!$AA$2)</f>
        <v>1</v>
      </c>
      <c r="M4098" s="46"/>
      <c r="P4098" s="16"/>
    </row>
    <row r="4099" spans="5:16" hidden="1" x14ac:dyDescent="0.25">
      <c r="E4099" s="43">
        <f>COUNTIF($O$7:O4099,FORMULARIO!$AA$2)</f>
        <v>1</v>
      </c>
      <c r="M4099" s="46"/>
      <c r="P4099" s="16"/>
    </row>
    <row r="4100" spans="5:16" hidden="1" x14ac:dyDescent="0.25">
      <c r="E4100" s="43">
        <f>COUNTIF($O$7:O4100,FORMULARIO!$AA$2)</f>
        <v>1</v>
      </c>
      <c r="M4100" s="46"/>
      <c r="P4100" s="16"/>
    </row>
    <row r="4101" spans="5:16" hidden="1" x14ac:dyDescent="0.25">
      <c r="E4101" s="43">
        <f>COUNTIF($O$7:O4101,FORMULARIO!$AA$2)</f>
        <v>1</v>
      </c>
      <c r="M4101" s="46"/>
      <c r="P4101" s="16"/>
    </row>
    <row r="4102" spans="5:16" hidden="1" x14ac:dyDescent="0.25">
      <c r="E4102" s="43">
        <f>COUNTIF($O$7:O4102,FORMULARIO!$AA$2)</f>
        <v>1</v>
      </c>
      <c r="M4102" s="46"/>
      <c r="P4102" s="16"/>
    </row>
    <row r="4103" spans="5:16" hidden="1" x14ac:dyDescent="0.25">
      <c r="E4103" s="43">
        <f>COUNTIF($O$7:O4103,FORMULARIO!$AA$2)</f>
        <v>1</v>
      </c>
      <c r="M4103" s="46"/>
      <c r="P4103" s="16"/>
    </row>
    <row r="4104" spans="5:16" hidden="1" x14ac:dyDescent="0.25">
      <c r="E4104" s="43">
        <f>COUNTIF($O$7:O4104,FORMULARIO!$AA$2)</f>
        <v>1</v>
      </c>
      <c r="M4104" s="46"/>
      <c r="P4104" s="16"/>
    </row>
    <row r="4105" spans="5:16" hidden="1" x14ac:dyDescent="0.25">
      <c r="E4105" s="43">
        <f>COUNTIF($O$7:O4105,FORMULARIO!$AA$2)</f>
        <v>1</v>
      </c>
      <c r="M4105" s="46"/>
      <c r="P4105" s="16"/>
    </row>
    <row r="4106" spans="5:16" hidden="1" x14ac:dyDescent="0.25">
      <c r="E4106" s="43">
        <f>COUNTIF($O$7:O4106,FORMULARIO!$AA$2)</f>
        <v>1</v>
      </c>
      <c r="M4106" s="46"/>
      <c r="P4106" s="16"/>
    </row>
    <row r="4107" spans="5:16" hidden="1" x14ac:dyDescent="0.25">
      <c r="E4107" s="43">
        <f>COUNTIF($O$7:O4107,FORMULARIO!$AA$2)</f>
        <v>1</v>
      </c>
      <c r="M4107" s="46"/>
      <c r="P4107" s="16"/>
    </row>
    <row r="4108" spans="5:16" hidden="1" x14ac:dyDescent="0.25">
      <c r="E4108" s="43">
        <f>COUNTIF($O$7:O4108,FORMULARIO!$AA$2)</f>
        <v>1</v>
      </c>
      <c r="M4108" s="46"/>
      <c r="P4108" s="16"/>
    </row>
    <row r="4109" spans="5:16" hidden="1" x14ac:dyDescent="0.25">
      <c r="E4109" s="43">
        <f>COUNTIF($O$7:O4109,FORMULARIO!$AA$2)</f>
        <v>1</v>
      </c>
      <c r="M4109" s="46"/>
      <c r="P4109" s="16"/>
    </row>
    <row r="4110" spans="5:16" hidden="1" x14ac:dyDescent="0.25">
      <c r="E4110" s="43">
        <f>COUNTIF($O$7:O4110,FORMULARIO!$AA$2)</f>
        <v>1</v>
      </c>
      <c r="M4110" s="46"/>
      <c r="P4110" s="16"/>
    </row>
    <row r="4111" spans="5:16" hidden="1" x14ac:dyDescent="0.25">
      <c r="E4111" s="43">
        <f>COUNTIF($O$7:O4111,FORMULARIO!$AA$2)</f>
        <v>1</v>
      </c>
      <c r="M4111" s="46"/>
      <c r="P4111" s="16"/>
    </row>
    <row r="4112" spans="5:16" hidden="1" x14ac:dyDescent="0.25">
      <c r="E4112" s="43">
        <f>COUNTIF($O$7:O4112,FORMULARIO!$AA$2)</f>
        <v>1</v>
      </c>
      <c r="M4112" s="46"/>
      <c r="P4112" s="16"/>
    </row>
    <row r="4113" spans="5:16" hidden="1" x14ac:dyDescent="0.25">
      <c r="E4113" s="43">
        <f>COUNTIF($O$7:O4113,FORMULARIO!$AA$2)</f>
        <v>1</v>
      </c>
      <c r="M4113" s="46"/>
      <c r="P4113" s="16"/>
    </row>
    <row r="4114" spans="5:16" hidden="1" x14ac:dyDescent="0.25">
      <c r="E4114" s="43">
        <f>COUNTIF($O$7:O4114,FORMULARIO!$AA$2)</f>
        <v>1</v>
      </c>
      <c r="M4114" s="46"/>
      <c r="P4114" s="16"/>
    </row>
    <row r="4115" spans="5:16" hidden="1" x14ac:dyDescent="0.25">
      <c r="E4115" s="43">
        <f>COUNTIF($O$7:O4115,FORMULARIO!$AA$2)</f>
        <v>1</v>
      </c>
      <c r="M4115" s="46"/>
      <c r="P4115" s="16"/>
    </row>
    <row r="4116" spans="5:16" hidden="1" x14ac:dyDescent="0.25">
      <c r="E4116" s="43">
        <f>COUNTIF($O$7:O4116,FORMULARIO!$AA$2)</f>
        <v>1</v>
      </c>
      <c r="M4116" s="46"/>
      <c r="P4116" s="16"/>
    </row>
    <row r="4117" spans="5:16" hidden="1" x14ac:dyDescent="0.25">
      <c r="E4117" s="43">
        <f>COUNTIF($O$7:O4117,FORMULARIO!$AA$2)</f>
        <v>1</v>
      </c>
      <c r="M4117" s="46"/>
      <c r="P4117" s="16"/>
    </row>
    <row r="4118" spans="5:16" hidden="1" x14ac:dyDescent="0.25">
      <c r="E4118" s="43">
        <f>COUNTIF($O$7:O4118,FORMULARIO!$AA$2)</f>
        <v>1</v>
      </c>
      <c r="M4118" s="46"/>
      <c r="P4118" s="16"/>
    </row>
    <row r="4119" spans="5:16" hidden="1" x14ac:dyDescent="0.25">
      <c r="E4119" s="43">
        <f>COUNTIF($O$7:O4119,FORMULARIO!$AA$2)</f>
        <v>1</v>
      </c>
      <c r="M4119" s="46"/>
      <c r="P4119" s="16"/>
    </row>
    <row r="4120" spans="5:16" hidden="1" x14ac:dyDescent="0.25">
      <c r="E4120" s="43">
        <f>COUNTIF($O$7:O4120,FORMULARIO!$AA$2)</f>
        <v>1</v>
      </c>
      <c r="M4120" s="46"/>
      <c r="P4120" s="16"/>
    </row>
    <row r="4121" spans="5:16" hidden="1" x14ac:dyDescent="0.25">
      <c r="E4121" s="43">
        <f>COUNTIF($O$7:O4121,FORMULARIO!$AA$2)</f>
        <v>1</v>
      </c>
      <c r="M4121" s="46"/>
      <c r="P4121" s="16"/>
    </row>
    <row r="4122" spans="5:16" hidden="1" x14ac:dyDescent="0.25">
      <c r="E4122" s="43">
        <f>COUNTIF($O$7:O4122,FORMULARIO!$AA$2)</f>
        <v>1</v>
      </c>
      <c r="M4122" s="46"/>
      <c r="P4122" s="16"/>
    </row>
    <row r="4123" spans="5:16" hidden="1" x14ac:dyDescent="0.25">
      <c r="E4123" s="43">
        <f>COUNTIF($O$7:O4123,FORMULARIO!$AA$2)</f>
        <v>1</v>
      </c>
      <c r="M4123" s="46"/>
      <c r="P4123" s="16"/>
    </row>
    <row r="4124" spans="5:16" hidden="1" x14ac:dyDescent="0.25">
      <c r="E4124" s="43">
        <f>COUNTIF($O$7:O4124,FORMULARIO!$AA$2)</f>
        <v>1</v>
      </c>
      <c r="M4124" s="46"/>
      <c r="P4124" s="16"/>
    </row>
    <row r="4125" spans="5:16" hidden="1" x14ac:dyDescent="0.25">
      <c r="E4125" s="43">
        <f>COUNTIF($O$7:O4125,FORMULARIO!$AA$2)</f>
        <v>1</v>
      </c>
      <c r="M4125" s="46"/>
      <c r="P4125" s="16"/>
    </row>
    <row r="4126" spans="5:16" hidden="1" x14ac:dyDescent="0.25">
      <c r="E4126" s="43">
        <f>COUNTIF($O$7:O4126,FORMULARIO!$AA$2)</f>
        <v>1</v>
      </c>
      <c r="M4126" s="46"/>
      <c r="P4126" s="16"/>
    </row>
    <row r="4127" spans="5:16" hidden="1" x14ac:dyDescent="0.25">
      <c r="E4127" s="43">
        <f>COUNTIF($O$7:O4127,FORMULARIO!$AA$2)</f>
        <v>1</v>
      </c>
      <c r="M4127" s="46"/>
      <c r="P4127" s="16"/>
    </row>
    <row r="4128" spans="5:16" hidden="1" x14ac:dyDescent="0.25">
      <c r="E4128" s="43">
        <f>COUNTIF($O$7:O4128,FORMULARIO!$AA$2)</f>
        <v>1</v>
      </c>
      <c r="M4128" s="46"/>
      <c r="P4128" s="16"/>
    </row>
    <row r="4129" spans="5:16" hidden="1" x14ac:dyDescent="0.25">
      <c r="E4129" s="43">
        <f>COUNTIF($O$7:O4129,FORMULARIO!$AA$2)</f>
        <v>1</v>
      </c>
      <c r="M4129" s="46"/>
      <c r="P4129" s="16"/>
    </row>
    <row r="4130" spans="5:16" hidden="1" x14ac:dyDescent="0.25">
      <c r="E4130" s="43">
        <f>COUNTIF($O$7:O4130,FORMULARIO!$AA$2)</f>
        <v>1</v>
      </c>
      <c r="M4130" s="46"/>
      <c r="P4130" s="16"/>
    </row>
    <row r="4131" spans="5:16" hidden="1" x14ac:dyDescent="0.25">
      <c r="E4131" s="43">
        <f>COUNTIF($O$7:O4131,FORMULARIO!$AA$2)</f>
        <v>1</v>
      </c>
      <c r="M4131" s="46"/>
      <c r="P4131" s="16"/>
    </row>
    <row r="4132" spans="5:16" hidden="1" x14ac:dyDescent="0.25">
      <c r="E4132" s="43">
        <f>COUNTIF($O$7:O4132,FORMULARIO!$AA$2)</f>
        <v>1</v>
      </c>
      <c r="M4132" s="46"/>
      <c r="P4132" s="16"/>
    </row>
    <row r="4133" spans="5:16" hidden="1" x14ac:dyDescent="0.25">
      <c r="E4133" s="43">
        <f>COUNTIF($O$7:O4133,FORMULARIO!$AA$2)</f>
        <v>1</v>
      </c>
      <c r="M4133" s="46"/>
      <c r="P4133" s="16"/>
    </row>
    <row r="4134" spans="5:16" hidden="1" x14ac:dyDescent="0.25">
      <c r="E4134" s="43">
        <f>COUNTIF($O$7:O4134,FORMULARIO!$AA$2)</f>
        <v>1</v>
      </c>
      <c r="M4134" s="46"/>
      <c r="P4134" s="16"/>
    </row>
    <row r="4135" spans="5:16" hidden="1" x14ac:dyDescent="0.25">
      <c r="E4135" s="43">
        <f>COUNTIF($O$7:O4135,FORMULARIO!$AA$2)</f>
        <v>1</v>
      </c>
      <c r="M4135" s="46"/>
      <c r="P4135" s="16"/>
    </row>
    <row r="4136" spans="5:16" hidden="1" x14ac:dyDescent="0.25">
      <c r="E4136" s="43">
        <f>COUNTIF($O$7:O4136,FORMULARIO!$AA$2)</f>
        <v>1</v>
      </c>
      <c r="M4136" s="46"/>
      <c r="P4136" s="16"/>
    </row>
    <row r="4137" spans="5:16" hidden="1" x14ac:dyDescent="0.25">
      <c r="E4137" s="43">
        <f>COUNTIF($O$7:O4137,FORMULARIO!$AA$2)</f>
        <v>1</v>
      </c>
      <c r="M4137" s="46"/>
      <c r="P4137" s="16"/>
    </row>
    <row r="4138" spans="5:16" hidden="1" x14ac:dyDescent="0.25">
      <c r="E4138" s="43">
        <f>COUNTIF($O$7:O4138,FORMULARIO!$AA$2)</f>
        <v>1</v>
      </c>
      <c r="M4138" s="46"/>
      <c r="P4138" s="16"/>
    </row>
    <row r="4139" spans="5:16" hidden="1" x14ac:dyDescent="0.25">
      <c r="E4139" s="43">
        <f>COUNTIF($O$7:O4139,FORMULARIO!$AA$2)</f>
        <v>1</v>
      </c>
      <c r="M4139" s="46"/>
      <c r="P4139" s="16"/>
    </row>
    <row r="4140" spans="5:16" hidden="1" x14ac:dyDescent="0.25">
      <c r="E4140" s="43">
        <f>COUNTIF($O$7:O4140,FORMULARIO!$AA$2)</f>
        <v>1</v>
      </c>
      <c r="M4140" s="46"/>
      <c r="P4140" s="16"/>
    </row>
    <row r="4141" spans="5:16" hidden="1" x14ac:dyDescent="0.25">
      <c r="E4141" s="43">
        <f>COUNTIF($O$7:O4141,FORMULARIO!$AA$2)</f>
        <v>1</v>
      </c>
      <c r="M4141" s="46"/>
      <c r="P4141" s="16"/>
    </row>
    <row r="4142" spans="5:16" hidden="1" x14ac:dyDescent="0.25">
      <c r="E4142" s="43">
        <f>COUNTIF($O$7:O4142,FORMULARIO!$AA$2)</f>
        <v>1</v>
      </c>
      <c r="M4142" s="46"/>
      <c r="P4142" s="16"/>
    </row>
    <row r="4143" spans="5:16" hidden="1" x14ac:dyDescent="0.25">
      <c r="E4143" s="43">
        <f>COUNTIF($O$7:O4143,FORMULARIO!$AA$2)</f>
        <v>1</v>
      </c>
      <c r="M4143" s="46"/>
      <c r="P4143" s="16"/>
    </row>
    <row r="4144" spans="5:16" hidden="1" x14ac:dyDescent="0.25">
      <c r="E4144" s="43">
        <f>COUNTIF($O$7:O4144,FORMULARIO!$AA$2)</f>
        <v>1</v>
      </c>
      <c r="M4144" s="46"/>
      <c r="P4144" s="16"/>
    </row>
    <row r="4145" spans="5:16" hidden="1" x14ac:dyDescent="0.25">
      <c r="E4145" s="43">
        <f>COUNTIF($O$7:O4145,FORMULARIO!$AA$2)</f>
        <v>1</v>
      </c>
      <c r="M4145" s="46"/>
      <c r="P4145" s="16"/>
    </row>
    <row r="4146" spans="5:16" hidden="1" x14ac:dyDescent="0.25">
      <c r="E4146" s="43">
        <f>COUNTIF($O$7:O4146,FORMULARIO!$AA$2)</f>
        <v>1</v>
      </c>
      <c r="M4146" s="46"/>
      <c r="P4146" s="16"/>
    </row>
    <row r="4147" spans="5:16" hidden="1" x14ac:dyDescent="0.25">
      <c r="E4147" s="43">
        <f>COUNTIF($O$7:O4147,FORMULARIO!$AA$2)</f>
        <v>1</v>
      </c>
      <c r="M4147" s="46"/>
      <c r="P4147" s="16"/>
    </row>
    <row r="4148" spans="5:16" hidden="1" x14ac:dyDescent="0.25">
      <c r="E4148" s="43">
        <f>COUNTIF($O$7:O4148,FORMULARIO!$AA$2)</f>
        <v>1</v>
      </c>
      <c r="M4148" s="46"/>
      <c r="P4148" s="16"/>
    </row>
    <row r="4149" spans="5:16" hidden="1" x14ac:dyDescent="0.25">
      <c r="E4149" s="43">
        <f>COUNTIF($O$7:O4149,FORMULARIO!$AA$2)</f>
        <v>1</v>
      </c>
      <c r="M4149" s="46"/>
      <c r="P4149" s="16"/>
    </row>
    <row r="4150" spans="5:16" hidden="1" x14ac:dyDescent="0.25">
      <c r="E4150" s="43">
        <f>COUNTIF($O$7:O4150,FORMULARIO!$AA$2)</f>
        <v>1</v>
      </c>
      <c r="M4150" s="46"/>
      <c r="P4150" s="16"/>
    </row>
    <row r="4151" spans="5:16" hidden="1" x14ac:dyDescent="0.25">
      <c r="E4151" s="43">
        <f>COUNTIF($O$7:O4151,FORMULARIO!$AA$2)</f>
        <v>1</v>
      </c>
      <c r="M4151" s="46"/>
      <c r="P4151" s="16"/>
    </row>
    <row r="4152" spans="5:16" hidden="1" x14ac:dyDescent="0.25">
      <c r="E4152" s="43">
        <f>COUNTIF($O$7:O4152,FORMULARIO!$AA$2)</f>
        <v>1</v>
      </c>
      <c r="M4152" s="46"/>
      <c r="P4152" s="16"/>
    </row>
    <row r="4153" spans="5:16" hidden="1" x14ac:dyDescent="0.25">
      <c r="E4153" s="43">
        <f>COUNTIF($O$7:O4153,FORMULARIO!$AA$2)</f>
        <v>1</v>
      </c>
      <c r="M4153" s="46"/>
      <c r="P4153" s="16"/>
    </row>
    <row r="4154" spans="5:16" hidden="1" x14ac:dyDescent="0.25">
      <c r="E4154" s="43">
        <f>COUNTIF($O$7:O4154,FORMULARIO!$AA$2)</f>
        <v>1</v>
      </c>
      <c r="M4154" s="46"/>
      <c r="P4154" s="16"/>
    </row>
    <row r="4155" spans="5:16" hidden="1" x14ac:dyDescent="0.25">
      <c r="E4155" s="43">
        <f>COUNTIF($O$7:O4155,FORMULARIO!$AA$2)</f>
        <v>1</v>
      </c>
      <c r="M4155" s="46"/>
      <c r="P4155" s="16"/>
    </row>
    <row r="4156" spans="5:16" hidden="1" x14ac:dyDescent="0.25">
      <c r="E4156" s="43">
        <f>COUNTIF($O$7:O4156,FORMULARIO!$AA$2)</f>
        <v>1</v>
      </c>
      <c r="M4156" s="46"/>
      <c r="P4156" s="16"/>
    </row>
    <row r="4157" spans="5:16" hidden="1" x14ac:dyDescent="0.25">
      <c r="E4157" s="43">
        <f>COUNTIF($O$7:O4157,FORMULARIO!$AA$2)</f>
        <v>1</v>
      </c>
      <c r="M4157" s="46"/>
      <c r="P4157" s="16"/>
    </row>
    <row r="4158" spans="5:16" hidden="1" x14ac:dyDescent="0.25">
      <c r="E4158" s="43">
        <f>COUNTIF($O$7:O4158,FORMULARIO!$AA$2)</f>
        <v>1</v>
      </c>
      <c r="M4158" s="46"/>
      <c r="P4158" s="16"/>
    </row>
    <row r="4159" spans="5:16" hidden="1" x14ac:dyDescent="0.25">
      <c r="E4159" s="43">
        <f>COUNTIF($O$7:O4159,FORMULARIO!$AA$2)</f>
        <v>1</v>
      </c>
      <c r="M4159" s="46"/>
      <c r="P4159" s="16"/>
    </row>
    <row r="4160" spans="5:16" hidden="1" x14ac:dyDescent="0.25">
      <c r="E4160" s="43">
        <f>COUNTIF($O$7:O4160,FORMULARIO!$AA$2)</f>
        <v>1</v>
      </c>
      <c r="M4160" s="46"/>
      <c r="P4160" s="16"/>
    </row>
    <row r="4161" spans="5:16" hidden="1" x14ac:dyDescent="0.25">
      <c r="E4161" s="43">
        <f>COUNTIF($O$7:O4161,FORMULARIO!$AA$2)</f>
        <v>1</v>
      </c>
      <c r="M4161" s="46"/>
      <c r="P4161" s="16"/>
    </row>
    <row r="4162" spans="5:16" hidden="1" x14ac:dyDescent="0.25">
      <c r="E4162" s="43">
        <f>COUNTIF($O$7:O4162,FORMULARIO!$AA$2)</f>
        <v>1</v>
      </c>
      <c r="M4162" s="46"/>
      <c r="P4162" s="16"/>
    </row>
    <row r="4163" spans="5:16" hidden="1" x14ac:dyDescent="0.25">
      <c r="E4163" s="43">
        <f>COUNTIF($O$7:O4163,FORMULARIO!$AA$2)</f>
        <v>1</v>
      </c>
      <c r="M4163" s="46"/>
      <c r="P4163" s="16"/>
    </row>
    <row r="4164" spans="5:16" hidden="1" x14ac:dyDescent="0.25">
      <c r="E4164" s="43">
        <f>COUNTIF($O$7:O4164,FORMULARIO!$AA$2)</f>
        <v>1</v>
      </c>
      <c r="M4164" s="46"/>
      <c r="P4164" s="16"/>
    </row>
    <row r="4165" spans="5:16" hidden="1" x14ac:dyDescent="0.25">
      <c r="E4165" s="43">
        <f>COUNTIF($O$7:O4165,FORMULARIO!$AA$2)</f>
        <v>1</v>
      </c>
      <c r="M4165" s="46"/>
      <c r="P4165" s="16"/>
    </row>
    <row r="4166" spans="5:16" hidden="1" x14ac:dyDescent="0.25">
      <c r="E4166" s="43">
        <f>COUNTIF($O$7:O4166,FORMULARIO!$AA$2)</f>
        <v>1</v>
      </c>
      <c r="M4166" s="46"/>
      <c r="P4166" s="16"/>
    </row>
    <row r="4167" spans="5:16" hidden="1" x14ac:dyDescent="0.25">
      <c r="E4167" s="43">
        <f>COUNTIF($O$7:O4167,FORMULARIO!$AA$2)</f>
        <v>1</v>
      </c>
      <c r="M4167" s="46"/>
      <c r="P4167" s="16"/>
    </row>
    <row r="4168" spans="5:16" hidden="1" x14ac:dyDescent="0.25">
      <c r="E4168" s="43">
        <f>COUNTIF($O$7:O4168,FORMULARIO!$AA$2)</f>
        <v>1</v>
      </c>
      <c r="M4168" s="46"/>
      <c r="P4168" s="16"/>
    </row>
    <row r="4169" spans="5:16" hidden="1" x14ac:dyDescent="0.25">
      <c r="E4169" s="43">
        <f>COUNTIF($O$7:O4169,FORMULARIO!$AA$2)</f>
        <v>1</v>
      </c>
      <c r="M4169" s="46"/>
      <c r="P4169" s="16"/>
    </row>
    <row r="4170" spans="5:16" hidden="1" x14ac:dyDescent="0.25">
      <c r="E4170" s="43">
        <f>COUNTIF($O$7:O4170,FORMULARIO!$AA$2)</f>
        <v>1</v>
      </c>
      <c r="M4170" s="46"/>
      <c r="P4170" s="16"/>
    </row>
    <row r="4171" spans="5:16" hidden="1" x14ac:dyDescent="0.25">
      <c r="E4171" s="43">
        <f>COUNTIF($O$7:O4171,FORMULARIO!$AA$2)</f>
        <v>1</v>
      </c>
      <c r="M4171" s="46"/>
      <c r="P4171" s="16"/>
    </row>
    <row r="4172" spans="5:16" hidden="1" x14ac:dyDescent="0.25">
      <c r="E4172" s="43">
        <f>COUNTIF($O$7:O4172,FORMULARIO!$AA$2)</f>
        <v>1</v>
      </c>
      <c r="M4172" s="46"/>
      <c r="P4172" s="16"/>
    </row>
    <row r="4173" spans="5:16" hidden="1" x14ac:dyDescent="0.25">
      <c r="E4173" s="43">
        <f>COUNTIF($O$7:O4173,FORMULARIO!$AA$2)</f>
        <v>1</v>
      </c>
      <c r="M4173" s="46"/>
      <c r="P4173" s="16"/>
    </row>
    <row r="4174" spans="5:16" hidden="1" x14ac:dyDescent="0.25">
      <c r="E4174" s="43">
        <f>COUNTIF($O$7:O4174,FORMULARIO!$AA$2)</f>
        <v>1</v>
      </c>
      <c r="M4174" s="46"/>
      <c r="P4174" s="16"/>
    </row>
    <row r="4175" spans="5:16" hidden="1" x14ac:dyDescent="0.25">
      <c r="E4175" s="43">
        <f>COUNTIF($O$7:O4175,FORMULARIO!$AA$2)</f>
        <v>1</v>
      </c>
      <c r="M4175" s="46"/>
      <c r="P4175" s="16"/>
    </row>
    <row r="4176" spans="5:16" hidden="1" x14ac:dyDescent="0.25">
      <c r="E4176" s="43">
        <f>COUNTIF($O$7:O4176,FORMULARIO!$AA$2)</f>
        <v>1</v>
      </c>
      <c r="M4176" s="46"/>
      <c r="P4176" s="16"/>
    </row>
    <row r="4177" spans="5:16" hidden="1" x14ac:dyDescent="0.25">
      <c r="E4177" s="43">
        <f>COUNTIF($O$7:O4177,FORMULARIO!$AA$2)</f>
        <v>1</v>
      </c>
      <c r="M4177" s="46"/>
      <c r="P4177" s="16"/>
    </row>
    <row r="4178" spans="5:16" hidden="1" x14ac:dyDescent="0.25">
      <c r="E4178" s="43">
        <f>COUNTIF($O$7:O4178,FORMULARIO!$AA$2)</f>
        <v>1</v>
      </c>
      <c r="M4178" s="46"/>
      <c r="P4178" s="16"/>
    </row>
    <row r="4179" spans="5:16" hidden="1" x14ac:dyDescent="0.25">
      <c r="E4179" s="43">
        <f>COUNTIF($O$7:O4179,FORMULARIO!$AA$2)</f>
        <v>1</v>
      </c>
      <c r="M4179" s="46"/>
      <c r="P4179" s="16"/>
    </row>
    <row r="4180" spans="5:16" hidden="1" x14ac:dyDescent="0.25">
      <c r="E4180" s="43">
        <f>COUNTIF($O$7:O4180,FORMULARIO!$AA$2)</f>
        <v>1</v>
      </c>
      <c r="M4180" s="46"/>
      <c r="P4180" s="16"/>
    </row>
    <row r="4181" spans="5:16" hidden="1" x14ac:dyDescent="0.25">
      <c r="E4181" s="43">
        <f>COUNTIF($O$7:O4181,FORMULARIO!$AA$2)</f>
        <v>1</v>
      </c>
      <c r="M4181" s="46"/>
      <c r="P4181" s="16"/>
    </row>
    <row r="4182" spans="5:16" hidden="1" x14ac:dyDescent="0.25">
      <c r="E4182" s="43">
        <f>COUNTIF($O$7:O4182,FORMULARIO!$AA$2)</f>
        <v>1</v>
      </c>
      <c r="M4182" s="46"/>
      <c r="P4182" s="16"/>
    </row>
    <row r="4183" spans="5:16" hidden="1" x14ac:dyDescent="0.25">
      <c r="E4183" s="43">
        <f>COUNTIF($O$7:O4183,FORMULARIO!$AA$2)</f>
        <v>1</v>
      </c>
      <c r="M4183" s="46"/>
      <c r="P4183" s="16"/>
    </row>
    <row r="4184" spans="5:16" hidden="1" x14ac:dyDescent="0.25">
      <c r="E4184" s="43">
        <f>COUNTIF($O$7:O4184,FORMULARIO!$AA$2)</f>
        <v>1</v>
      </c>
      <c r="M4184" s="46"/>
      <c r="P4184" s="16"/>
    </row>
    <row r="4185" spans="5:16" hidden="1" x14ac:dyDescent="0.25">
      <c r="E4185" s="43">
        <f>COUNTIF($O$7:O4185,FORMULARIO!$AA$2)</f>
        <v>1</v>
      </c>
      <c r="M4185" s="46"/>
      <c r="P4185" s="16"/>
    </row>
    <row r="4186" spans="5:16" hidden="1" x14ac:dyDescent="0.25">
      <c r="E4186" s="43">
        <f>COUNTIF($O$7:O4186,FORMULARIO!$AA$2)</f>
        <v>1</v>
      </c>
      <c r="M4186" s="46"/>
      <c r="P4186" s="16"/>
    </row>
    <row r="4187" spans="5:16" hidden="1" x14ac:dyDescent="0.25">
      <c r="E4187" s="43">
        <f>COUNTIF($O$7:O4187,FORMULARIO!$AA$2)</f>
        <v>1</v>
      </c>
      <c r="M4187" s="46"/>
      <c r="P4187" s="16"/>
    </row>
    <row r="4188" spans="5:16" hidden="1" x14ac:dyDescent="0.25">
      <c r="E4188" s="43">
        <f>COUNTIF($O$7:O4188,FORMULARIO!$AA$2)</f>
        <v>1</v>
      </c>
      <c r="M4188" s="46"/>
      <c r="P4188" s="16"/>
    </row>
    <row r="4189" spans="5:16" hidden="1" x14ac:dyDescent="0.25">
      <c r="E4189" s="43">
        <f>COUNTIF($O$7:O4189,FORMULARIO!$AA$2)</f>
        <v>1</v>
      </c>
      <c r="M4189" s="46"/>
      <c r="P4189" s="16"/>
    </row>
    <row r="4190" spans="5:16" hidden="1" x14ac:dyDescent="0.25">
      <c r="E4190" s="43">
        <f>COUNTIF($O$7:O4190,FORMULARIO!$AA$2)</f>
        <v>1</v>
      </c>
      <c r="M4190" s="46"/>
      <c r="P4190" s="16"/>
    </row>
    <row r="4191" spans="5:16" hidden="1" x14ac:dyDescent="0.25">
      <c r="E4191" s="43">
        <f>COUNTIF($O$7:O4191,FORMULARIO!$AA$2)</f>
        <v>1</v>
      </c>
      <c r="M4191" s="46"/>
      <c r="P4191" s="16"/>
    </row>
    <row r="4192" spans="5:16" hidden="1" x14ac:dyDescent="0.25">
      <c r="E4192" s="43">
        <f>COUNTIF($O$7:O4192,FORMULARIO!$AA$2)</f>
        <v>1</v>
      </c>
      <c r="M4192" s="46"/>
      <c r="P4192" s="16"/>
    </row>
    <row r="4193" spans="5:16" hidden="1" x14ac:dyDescent="0.25">
      <c r="E4193" s="43">
        <f>COUNTIF($O$7:O4193,FORMULARIO!$AA$2)</f>
        <v>1</v>
      </c>
      <c r="M4193" s="46"/>
      <c r="P4193" s="16"/>
    </row>
    <row r="4194" spans="5:16" hidden="1" x14ac:dyDescent="0.25">
      <c r="E4194" s="43">
        <f>COUNTIF($O$7:O4194,FORMULARIO!$AA$2)</f>
        <v>1</v>
      </c>
      <c r="M4194" s="46"/>
      <c r="P4194" s="16"/>
    </row>
    <row r="4195" spans="5:16" hidden="1" x14ac:dyDescent="0.25">
      <c r="E4195" s="43">
        <f>COUNTIF($O$7:O4195,FORMULARIO!$AA$2)</f>
        <v>1</v>
      </c>
      <c r="M4195" s="46"/>
      <c r="P4195" s="16"/>
    </row>
    <row r="4196" spans="5:16" hidden="1" x14ac:dyDescent="0.25">
      <c r="E4196" s="43">
        <f>COUNTIF($O$7:O4196,FORMULARIO!$AA$2)</f>
        <v>1</v>
      </c>
      <c r="M4196" s="46"/>
      <c r="P4196" s="16"/>
    </row>
    <row r="4197" spans="5:16" hidden="1" x14ac:dyDescent="0.25">
      <c r="E4197" s="43">
        <f>COUNTIF($O$7:O4197,FORMULARIO!$AA$2)</f>
        <v>1</v>
      </c>
      <c r="M4197" s="46"/>
      <c r="P4197" s="16"/>
    </row>
    <row r="4198" spans="5:16" hidden="1" x14ac:dyDescent="0.25">
      <c r="E4198" s="43">
        <f>COUNTIF($O$7:O4198,FORMULARIO!$AA$2)</f>
        <v>1</v>
      </c>
      <c r="M4198" s="46"/>
      <c r="P4198" s="16"/>
    </row>
    <row r="4199" spans="5:16" hidden="1" x14ac:dyDescent="0.25">
      <c r="E4199" s="43">
        <f>COUNTIF($O$7:O4199,FORMULARIO!$AA$2)</f>
        <v>1</v>
      </c>
      <c r="M4199" s="46"/>
      <c r="P4199" s="16"/>
    </row>
    <row r="4200" spans="5:16" hidden="1" x14ac:dyDescent="0.25">
      <c r="E4200" s="43">
        <f>COUNTIF($O$7:O4200,FORMULARIO!$AA$2)</f>
        <v>1</v>
      </c>
      <c r="M4200" s="46"/>
      <c r="P4200" s="16"/>
    </row>
    <row r="4201" spans="5:16" hidden="1" x14ac:dyDescent="0.25">
      <c r="E4201" s="43">
        <f>COUNTIF($O$7:O4201,FORMULARIO!$AA$2)</f>
        <v>1</v>
      </c>
      <c r="M4201" s="46"/>
      <c r="P4201" s="16"/>
    </row>
    <row r="4202" spans="5:16" hidden="1" x14ac:dyDescent="0.25">
      <c r="E4202" s="43">
        <f>COUNTIF($O$7:O4202,FORMULARIO!$AA$2)</f>
        <v>1</v>
      </c>
      <c r="M4202" s="46"/>
      <c r="P4202" s="16"/>
    </row>
    <row r="4203" spans="5:16" hidden="1" x14ac:dyDescent="0.25">
      <c r="E4203" s="43">
        <f>COUNTIF($O$7:O4203,FORMULARIO!$AA$2)</f>
        <v>1</v>
      </c>
      <c r="M4203" s="46"/>
      <c r="P4203" s="16"/>
    </row>
    <row r="4204" spans="5:16" hidden="1" x14ac:dyDescent="0.25">
      <c r="E4204" s="43">
        <f>COUNTIF($O$7:O4204,FORMULARIO!$AA$2)</f>
        <v>1</v>
      </c>
      <c r="M4204" s="46"/>
      <c r="P4204" s="16"/>
    </row>
    <row r="4205" spans="5:16" hidden="1" x14ac:dyDescent="0.25">
      <c r="E4205" s="43">
        <f>COUNTIF($O$7:O4205,FORMULARIO!$AA$2)</f>
        <v>1</v>
      </c>
      <c r="M4205" s="46"/>
      <c r="P4205" s="16"/>
    </row>
    <row r="4206" spans="5:16" hidden="1" x14ac:dyDescent="0.25">
      <c r="E4206" s="43">
        <f>COUNTIF($O$7:O4206,FORMULARIO!$AA$2)</f>
        <v>1</v>
      </c>
      <c r="M4206" s="46"/>
      <c r="P4206" s="16"/>
    </row>
    <row r="4207" spans="5:16" hidden="1" x14ac:dyDescent="0.25">
      <c r="E4207" s="43">
        <f>COUNTIF($O$7:O4207,FORMULARIO!$AA$2)</f>
        <v>1</v>
      </c>
      <c r="M4207" s="46"/>
      <c r="P4207" s="16"/>
    </row>
    <row r="4208" spans="5:16" hidden="1" x14ac:dyDescent="0.25">
      <c r="E4208" s="43">
        <f>COUNTIF($O$7:O4208,FORMULARIO!$AA$2)</f>
        <v>1</v>
      </c>
      <c r="M4208" s="46"/>
      <c r="P4208" s="16"/>
    </row>
    <row r="4209" spans="5:16" hidden="1" x14ac:dyDescent="0.25">
      <c r="E4209" s="43">
        <f>COUNTIF($O$7:O4209,FORMULARIO!$AA$2)</f>
        <v>1</v>
      </c>
      <c r="M4209" s="46"/>
      <c r="P4209" s="16"/>
    </row>
    <row r="4210" spans="5:16" hidden="1" x14ac:dyDescent="0.25">
      <c r="E4210" s="43">
        <f>COUNTIF($O$7:O4210,FORMULARIO!$AA$2)</f>
        <v>1</v>
      </c>
      <c r="M4210" s="46"/>
      <c r="P4210" s="16"/>
    </row>
    <row r="4211" spans="5:16" hidden="1" x14ac:dyDescent="0.25">
      <c r="E4211" s="43">
        <f>COUNTIF($O$7:O4211,FORMULARIO!$AA$2)</f>
        <v>1</v>
      </c>
      <c r="M4211" s="46"/>
      <c r="P4211" s="16"/>
    </row>
    <row r="4212" spans="5:16" hidden="1" x14ac:dyDescent="0.25">
      <c r="E4212" s="43">
        <f>COUNTIF($O$7:O4212,FORMULARIO!$AA$2)</f>
        <v>1</v>
      </c>
      <c r="M4212" s="46"/>
      <c r="P4212" s="16"/>
    </row>
    <row r="4213" spans="5:16" hidden="1" x14ac:dyDescent="0.25">
      <c r="E4213" s="43">
        <f>COUNTIF($O$7:O4213,FORMULARIO!$AA$2)</f>
        <v>1</v>
      </c>
      <c r="M4213" s="46"/>
      <c r="P4213" s="16"/>
    </row>
    <row r="4214" spans="5:16" hidden="1" x14ac:dyDescent="0.25">
      <c r="E4214" s="43">
        <f>COUNTIF($O$7:O4214,FORMULARIO!$AA$2)</f>
        <v>1</v>
      </c>
      <c r="M4214" s="46"/>
      <c r="P4214" s="16"/>
    </row>
    <row r="4215" spans="5:16" hidden="1" x14ac:dyDescent="0.25">
      <c r="E4215" s="43">
        <f>COUNTIF($O$7:O4215,FORMULARIO!$AA$2)</f>
        <v>1</v>
      </c>
      <c r="M4215" s="46"/>
      <c r="P4215" s="16"/>
    </row>
    <row r="4216" spans="5:16" hidden="1" x14ac:dyDescent="0.25">
      <c r="E4216" s="43">
        <f>COUNTIF($O$7:O4216,FORMULARIO!$AA$2)</f>
        <v>1</v>
      </c>
      <c r="M4216" s="46"/>
      <c r="P4216" s="16"/>
    </row>
    <row r="4217" spans="5:16" hidden="1" x14ac:dyDescent="0.25">
      <c r="E4217" s="43">
        <f>COUNTIF($O$7:O4217,FORMULARIO!$AA$2)</f>
        <v>1</v>
      </c>
      <c r="M4217" s="46"/>
      <c r="P4217" s="16"/>
    </row>
    <row r="4218" spans="5:16" hidden="1" x14ac:dyDescent="0.25">
      <c r="E4218" s="43">
        <f>COUNTIF($O$7:O4218,FORMULARIO!$AA$2)</f>
        <v>1</v>
      </c>
      <c r="M4218" s="46"/>
      <c r="P4218" s="16"/>
    </row>
    <row r="4219" spans="5:16" hidden="1" x14ac:dyDescent="0.25">
      <c r="E4219" s="43">
        <f>COUNTIF($O$7:O4219,FORMULARIO!$AA$2)</f>
        <v>1</v>
      </c>
      <c r="M4219" s="46"/>
      <c r="P4219" s="16"/>
    </row>
    <row r="4220" spans="5:16" hidden="1" x14ac:dyDescent="0.25">
      <c r="E4220" s="43">
        <f>COUNTIF($O$7:O4220,FORMULARIO!$AA$2)</f>
        <v>1</v>
      </c>
      <c r="M4220" s="46"/>
      <c r="P4220" s="16"/>
    </row>
    <row r="4221" spans="5:16" hidden="1" x14ac:dyDescent="0.25">
      <c r="E4221" s="43">
        <f>COUNTIF($O$7:O4221,FORMULARIO!$AA$2)</f>
        <v>1</v>
      </c>
      <c r="M4221" s="46"/>
      <c r="P4221" s="16"/>
    </row>
    <row r="4222" spans="5:16" hidden="1" x14ac:dyDescent="0.25">
      <c r="E4222" s="43">
        <f>COUNTIF($O$7:O4222,FORMULARIO!$AA$2)</f>
        <v>1</v>
      </c>
      <c r="M4222" s="46"/>
      <c r="P4222" s="16"/>
    </row>
    <row r="4223" spans="5:16" hidden="1" x14ac:dyDescent="0.25">
      <c r="E4223" s="43">
        <f>COUNTIF($O$7:O4223,FORMULARIO!$AA$2)</f>
        <v>1</v>
      </c>
      <c r="M4223" s="46"/>
      <c r="P4223" s="16"/>
    </row>
    <row r="4224" spans="5:16" hidden="1" x14ac:dyDescent="0.25">
      <c r="E4224" s="43">
        <f>COUNTIF($O$7:O4224,FORMULARIO!$AA$2)</f>
        <v>1</v>
      </c>
      <c r="M4224" s="46"/>
      <c r="P4224" s="16"/>
    </row>
    <row r="4225" spans="5:16" hidden="1" x14ac:dyDescent="0.25">
      <c r="E4225" s="43">
        <f>COUNTIF($O$7:O4225,FORMULARIO!$AA$2)</f>
        <v>1</v>
      </c>
      <c r="M4225" s="46"/>
      <c r="P4225" s="16"/>
    </row>
    <row r="4226" spans="5:16" hidden="1" x14ac:dyDescent="0.25">
      <c r="E4226" s="43">
        <f>COUNTIF($O$7:O4226,FORMULARIO!$AA$2)</f>
        <v>1</v>
      </c>
      <c r="M4226" s="46"/>
      <c r="P4226" s="16"/>
    </row>
    <row r="4227" spans="5:16" hidden="1" x14ac:dyDescent="0.25">
      <c r="E4227" s="43">
        <f>COUNTIF($O$7:O4227,FORMULARIO!$AA$2)</f>
        <v>1</v>
      </c>
      <c r="M4227" s="46"/>
      <c r="P4227" s="16"/>
    </row>
    <row r="4228" spans="5:16" hidden="1" x14ac:dyDescent="0.25">
      <c r="E4228" s="43">
        <f>COUNTIF($O$7:O4228,FORMULARIO!$AA$2)</f>
        <v>1</v>
      </c>
      <c r="M4228" s="46"/>
      <c r="P4228" s="16"/>
    </row>
    <row r="4229" spans="5:16" hidden="1" x14ac:dyDescent="0.25">
      <c r="E4229" s="43">
        <f>COUNTIF($O$7:O4229,FORMULARIO!$AA$2)</f>
        <v>1</v>
      </c>
      <c r="M4229" s="46"/>
      <c r="P4229" s="16"/>
    </row>
    <row r="4230" spans="5:16" hidden="1" x14ac:dyDescent="0.25">
      <c r="E4230" s="43">
        <f>COUNTIF($O$7:O4230,FORMULARIO!$AA$2)</f>
        <v>1</v>
      </c>
      <c r="M4230" s="46"/>
      <c r="P4230" s="16"/>
    </row>
    <row r="4231" spans="5:16" hidden="1" x14ac:dyDescent="0.25">
      <c r="E4231" s="43">
        <f>COUNTIF($O$7:O4231,FORMULARIO!$AA$2)</f>
        <v>1</v>
      </c>
      <c r="M4231" s="46"/>
      <c r="P4231" s="16"/>
    </row>
    <row r="4232" spans="5:16" hidden="1" x14ac:dyDescent="0.25">
      <c r="E4232" s="43">
        <f>COUNTIF($O$7:O4232,FORMULARIO!$AA$2)</f>
        <v>1</v>
      </c>
      <c r="M4232" s="46"/>
      <c r="P4232" s="16"/>
    </row>
    <row r="4233" spans="5:16" hidden="1" x14ac:dyDescent="0.25">
      <c r="E4233" s="43">
        <f>COUNTIF($O$7:O4233,FORMULARIO!$AA$2)</f>
        <v>1</v>
      </c>
      <c r="M4233" s="46"/>
      <c r="P4233" s="16"/>
    </row>
    <row r="4234" spans="5:16" hidden="1" x14ac:dyDescent="0.25">
      <c r="E4234" s="43">
        <f>COUNTIF($O$7:O4234,FORMULARIO!$AA$2)</f>
        <v>1</v>
      </c>
      <c r="M4234" s="46"/>
      <c r="P4234" s="16"/>
    </row>
    <row r="4235" spans="5:16" hidden="1" x14ac:dyDescent="0.25">
      <c r="E4235" s="43">
        <f>COUNTIF($O$7:O4235,FORMULARIO!$AA$2)</f>
        <v>1</v>
      </c>
      <c r="M4235" s="46"/>
      <c r="P4235" s="16"/>
    </row>
    <row r="4236" spans="5:16" hidden="1" x14ac:dyDescent="0.25">
      <c r="E4236" s="43">
        <f>COUNTIF($O$7:O4236,FORMULARIO!$AA$2)</f>
        <v>1</v>
      </c>
      <c r="M4236" s="46"/>
      <c r="P4236" s="16"/>
    </row>
    <row r="4237" spans="5:16" hidden="1" x14ac:dyDescent="0.25">
      <c r="E4237" s="43">
        <f>COUNTIF($O$7:O4237,FORMULARIO!$AA$2)</f>
        <v>1</v>
      </c>
      <c r="M4237" s="46"/>
      <c r="P4237" s="16"/>
    </row>
    <row r="4238" spans="5:16" hidden="1" x14ac:dyDescent="0.25">
      <c r="E4238" s="43">
        <f>COUNTIF($O$7:O4238,FORMULARIO!$AA$2)</f>
        <v>1</v>
      </c>
      <c r="M4238" s="46"/>
      <c r="P4238" s="16"/>
    </row>
    <row r="4239" spans="5:16" hidden="1" x14ac:dyDescent="0.25">
      <c r="E4239" s="43">
        <f>COUNTIF($O$7:O4239,FORMULARIO!$AA$2)</f>
        <v>1</v>
      </c>
      <c r="M4239" s="46"/>
      <c r="P4239" s="16"/>
    </row>
    <row r="4240" spans="5:16" hidden="1" x14ac:dyDescent="0.25">
      <c r="E4240" s="43">
        <f>COUNTIF($O$7:O4240,FORMULARIO!$AA$2)</f>
        <v>1</v>
      </c>
      <c r="M4240" s="46"/>
      <c r="P4240" s="16"/>
    </row>
    <row r="4241" spans="5:16" hidden="1" x14ac:dyDescent="0.25">
      <c r="E4241" s="43">
        <f>COUNTIF($O$7:O4241,FORMULARIO!$AA$2)</f>
        <v>1</v>
      </c>
      <c r="M4241" s="46"/>
      <c r="P4241" s="16"/>
    </row>
    <row r="4242" spans="5:16" hidden="1" x14ac:dyDescent="0.25">
      <c r="E4242" s="43">
        <f>COUNTIF($O$7:O4242,FORMULARIO!$AA$2)</f>
        <v>1</v>
      </c>
      <c r="M4242" s="46"/>
      <c r="P4242" s="16"/>
    </row>
    <row r="4243" spans="5:16" hidden="1" x14ac:dyDescent="0.25">
      <c r="E4243" s="43">
        <f>COUNTIF($O$7:O4243,FORMULARIO!$AA$2)</f>
        <v>1</v>
      </c>
      <c r="M4243" s="46"/>
      <c r="P4243" s="16"/>
    </row>
    <row r="4244" spans="5:16" hidden="1" x14ac:dyDescent="0.25">
      <c r="E4244" s="43">
        <f>COUNTIF($O$7:O4244,FORMULARIO!$AA$2)</f>
        <v>1</v>
      </c>
      <c r="M4244" s="46"/>
      <c r="P4244" s="16"/>
    </row>
    <row r="4245" spans="5:16" hidden="1" x14ac:dyDescent="0.25">
      <c r="E4245" s="43">
        <f>COUNTIF($O$7:O4245,FORMULARIO!$AA$2)</f>
        <v>1</v>
      </c>
      <c r="M4245" s="46"/>
      <c r="P4245" s="16"/>
    </row>
    <row r="4246" spans="5:16" hidden="1" x14ac:dyDescent="0.25">
      <c r="E4246" s="43">
        <f>COUNTIF($O$7:O4246,FORMULARIO!$AA$2)</f>
        <v>1</v>
      </c>
      <c r="M4246" s="46"/>
      <c r="P4246" s="16"/>
    </row>
    <row r="4247" spans="5:16" hidden="1" x14ac:dyDescent="0.25">
      <c r="E4247" s="43">
        <f>COUNTIF($O$7:O4247,FORMULARIO!$AA$2)</f>
        <v>1</v>
      </c>
      <c r="M4247" s="46"/>
      <c r="P4247" s="16"/>
    </row>
    <row r="4248" spans="5:16" hidden="1" x14ac:dyDescent="0.25">
      <c r="E4248" s="43">
        <f>COUNTIF($O$7:O4248,FORMULARIO!$AA$2)</f>
        <v>1</v>
      </c>
      <c r="M4248" s="46"/>
      <c r="P4248" s="16"/>
    </row>
    <row r="4249" spans="5:16" hidden="1" x14ac:dyDescent="0.25">
      <c r="E4249" s="43">
        <f>COUNTIF($O$7:O4249,FORMULARIO!$AA$2)</f>
        <v>1</v>
      </c>
      <c r="M4249" s="46"/>
      <c r="P4249" s="16"/>
    </row>
    <row r="4250" spans="5:16" hidden="1" x14ac:dyDescent="0.25">
      <c r="E4250" s="43">
        <f>COUNTIF($O$7:O4250,FORMULARIO!$AA$2)</f>
        <v>1</v>
      </c>
      <c r="M4250" s="46"/>
      <c r="P4250" s="16"/>
    </row>
    <row r="4251" spans="5:16" hidden="1" x14ac:dyDescent="0.25">
      <c r="E4251" s="43">
        <f>COUNTIF($O$7:O4251,FORMULARIO!$AA$2)</f>
        <v>1</v>
      </c>
      <c r="M4251" s="46"/>
      <c r="P4251" s="16"/>
    </row>
    <row r="4252" spans="5:16" hidden="1" x14ac:dyDescent="0.25">
      <c r="E4252" s="43">
        <f>COUNTIF($O$7:O4252,FORMULARIO!$AA$2)</f>
        <v>1</v>
      </c>
      <c r="M4252" s="46"/>
      <c r="P4252" s="16"/>
    </row>
    <row r="4253" spans="5:16" hidden="1" x14ac:dyDescent="0.25">
      <c r="E4253" s="43">
        <f>COUNTIF($O$7:O4253,FORMULARIO!$AA$2)</f>
        <v>1</v>
      </c>
      <c r="M4253" s="46"/>
      <c r="P4253" s="16"/>
    </row>
    <row r="4254" spans="5:16" hidden="1" x14ac:dyDescent="0.25">
      <c r="E4254" s="43">
        <f>COUNTIF($O$7:O4254,FORMULARIO!$AA$2)</f>
        <v>1</v>
      </c>
      <c r="M4254" s="46"/>
      <c r="P4254" s="16"/>
    </row>
    <row r="4255" spans="5:16" hidden="1" x14ac:dyDescent="0.25">
      <c r="E4255" s="43">
        <f>COUNTIF($O$7:O4255,FORMULARIO!$AA$2)</f>
        <v>1</v>
      </c>
      <c r="M4255" s="46"/>
      <c r="P4255" s="16"/>
    </row>
    <row r="4256" spans="5:16" hidden="1" x14ac:dyDescent="0.25">
      <c r="E4256" s="43">
        <f>COUNTIF($O$7:O4256,FORMULARIO!$AA$2)</f>
        <v>1</v>
      </c>
      <c r="M4256" s="46"/>
      <c r="P4256" s="16"/>
    </row>
    <row r="4257" spans="5:16" hidden="1" x14ac:dyDescent="0.25">
      <c r="E4257" s="43">
        <f>COUNTIF($O$7:O4257,FORMULARIO!$AA$2)</f>
        <v>1</v>
      </c>
      <c r="M4257" s="46"/>
      <c r="P4257" s="16"/>
    </row>
    <row r="4258" spans="5:16" hidden="1" x14ac:dyDescent="0.25">
      <c r="E4258" s="43">
        <f>COUNTIF($O$7:O4258,FORMULARIO!$AA$2)</f>
        <v>1</v>
      </c>
      <c r="M4258" s="46"/>
      <c r="P4258" s="16"/>
    </row>
    <row r="4259" spans="5:16" hidden="1" x14ac:dyDescent="0.25">
      <c r="E4259" s="43">
        <f>COUNTIF($O$7:O4259,FORMULARIO!$AA$2)</f>
        <v>1</v>
      </c>
      <c r="M4259" s="46"/>
      <c r="P4259" s="16"/>
    </row>
    <row r="4260" spans="5:16" hidden="1" x14ac:dyDescent="0.25">
      <c r="E4260" s="43">
        <f>COUNTIF($O$7:O4260,FORMULARIO!$AA$2)</f>
        <v>1</v>
      </c>
      <c r="M4260" s="46"/>
      <c r="P4260" s="16"/>
    </row>
    <row r="4261" spans="5:16" hidden="1" x14ac:dyDescent="0.25">
      <c r="E4261" s="43">
        <f>COUNTIF($O$7:O4261,FORMULARIO!$AA$2)</f>
        <v>1</v>
      </c>
      <c r="M4261" s="46"/>
      <c r="P4261" s="16"/>
    </row>
    <row r="4262" spans="5:16" hidden="1" x14ac:dyDescent="0.25">
      <c r="E4262" s="43">
        <f>COUNTIF($O$7:O4262,FORMULARIO!$AA$2)</f>
        <v>1</v>
      </c>
      <c r="M4262" s="46"/>
      <c r="P4262" s="16"/>
    </row>
    <row r="4263" spans="5:16" hidden="1" x14ac:dyDescent="0.25">
      <c r="E4263" s="43">
        <f>COUNTIF($O$7:O4263,FORMULARIO!$AA$2)</f>
        <v>1</v>
      </c>
      <c r="M4263" s="46"/>
      <c r="P4263" s="16"/>
    </row>
    <row r="4264" spans="5:16" hidden="1" x14ac:dyDescent="0.25">
      <c r="E4264" s="43">
        <f>COUNTIF($O$7:O4264,FORMULARIO!$AA$2)</f>
        <v>1</v>
      </c>
      <c r="M4264" s="46"/>
      <c r="P4264" s="16"/>
    </row>
    <row r="4265" spans="5:16" hidden="1" x14ac:dyDescent="0.25">
      <c r="E4265" s="43">
        <f>COUNTIF($O$7:O4265,FORMULARIO!$AA$2)</f>
        <v>1</v>
      </c>
      <c r="M4265" s="46"/>
      <c r="P4265" s="16"/>
    </row>
    <row r="4266" spans="5:16" hidden="1" x14ac:dyDescent="0.25">
      <c r="E4266" s="43">
        <f>COUNTIF($O$7:O4266,FORMULARIO!$AA$2)</f>
        <v>1</v>
      </c>
      <c r="M4266" s="46"/>
      <c r="P4266" s="16"/>
    </row>
    <row r="4267" spans="5:16" hidden="1" x14ac:dyDescent="0.25">
      <c r="E4267" s="43">
        <f>COUNTIF($O$7:O4267,FORMULARIO!$AA$2)</f>
        <v>1</v>
      </c>
      <c r="M4267" s="46"/>
      <c r="P4267" s="16"/>
    </row>
    <row r="4268" spans="5:16" hidden="1" x14ac:dyDescent="0.25">
      <c r="E4268" s="43">
        <f>COUNTIF($O$7:O4268,FORMULARIO!$AA$2)</f>
        <v>1</v>
      </c>
      <c r="M4268" s="46"/>
      <c r="P4268" s="16"/>
    </row>
    <row r="4269" spans="5:16" hidden="1" x14ac:dyDescent="0.25">
      <c r="E4269" s="43">
        <f>COUNTIF($O$7:O4269,FORMULARIO!$AA$2)</f>
        <v>1</v>
      </c>
      <c r="M4269" s="46"/>
      <c r="P4269" s="16"/>
    </row>
    <row r="4270" spans="5:16" hidden="1" x14ac:dyDescent="0.25">
      <c r="E4270" s="43">
        <f>COUNTIF($O$7:O4270,FORMULARIO!$AA$2)</f>
        <v>1</v>
      </c>
      <c r="M4270" s="46"/>
      <c r="P4270" s="16"/>
    </row>
    <row r="4271" spans="5:16" hidden="1" x14ac:dyDescent="0.25">
      <c r="E4271" s="43">
        <f>COUNTIF($O$7:O4271,FORMULARIO!$AA$2)</f>
        <v>1</v>
      </c>
      <c r="M4271" s="46"/>
      <c r="P4271" s="16"/>
    </row>
    <row r="4272" spans="5:16" hidden="1" x14ac:dyDescent="0.25">
      <c r="E4272" s="43">
        <f>COUNTIF($O$7:O4272,FORMULARIO!$AA$2)</f>
        <v>1</v>
      </c>
      <c r="M4272" s="46"/>
      <c r="P4272" s="16"/>
    </row>
    <row r="4273" spans="5:16" hidden="1" x14ac:dyDescent="0.25">
      <c r="E4273" s="43">
        <f>COUNTIF($O$7:O4273,FORMULARIO!$AA$2)</f>
        <v>1</v>
      </c>
      <c r="M4273" s="46"/>
      <c r="P4273" s="16"/>
    </row>
    <row r="4274" spans="5:16" hidden="1" x14ac:dyDescent="0.25">
      <c r="E4274" s="43">
        <f>COUNTIF($O$7:O4274,FORMULARIO!$AA$2)</f>
        <v>1</v>
      </c>
      <c r="M4274" s="46"/>
      <c r="P4274" s="16"/>
    </row>
    <row r="4275" spans="5:16" hidden="1" x14ac:dyDescent="0.25">
      <c r="E4275" s="43">
        <f>COUNTIF($O$7:O4275,FORMULARIO!$AA$2)</f>
        <v>1</v>
      </c>
      <c r="M4275" s="46"/>
      <c r="P4275" s="16"/>
    </row>
    <row r="4276" spans="5:16" hidden="1" x14ac:dyDescent="0.25">
      <c r="E4276" s="43">
        <f>COUNTIF($O$7:O4276,FORMULARIO!$AA$2)</f>
        <v>1</v>
      </c>
      <c r="M4276" s="46"/>
      <c r="P4276" s="16"/>
    </row>
    <row r="4277" spans="5:16" hidden="1" x14ac:dyDescent="0.25">
      <c r="E4277" s="43">
        <f>COUNTIF($O$7:O4277,FORMULARIO!$AA$2)</f>
        <v>1</v>
      </c>
      <c r="M4277" s="46"/>
      <c r="P4277" s="16"/>
    </row>
    <row r="4278" spans="5:16" hidden="1" x14ac:dyDescent="0.25">
      <c r="E4278" s="43">
        <f>COUNTIF($O$7:O4278,FORMULARIO!$AA$2)</f>
        <v>1</v>
      </c>
      <c r="M4278" s="46"/>
      <c r="P4278" s="16"/>
    </row>
    <row r="4279" spans="5:16" hidden="1" x14ac:dyDescent="0.25">
      <c r="E4279" s="43">
        <f>COUNTIF($O$7:O4279,FORMULARIO!$AA$2)</f>
        <v>1</v>
      </c>
      <c r="M4279" s="46"/>
      <c r="P4279" s="16"/>
    </row>
    <row r="4280" spans="5:16" hidden="1" x14ac:dyDescent="0.25">
      <c r="E4280" s="43">
        <f>COUNTIF($O$7:O4280,FORMULARIO!$AA$2)</f>
        <v>1</v>
      </c>
      <c r="M4280" s="46"/>
      <c r="P4280" s="16"/>
    </row>
    <row r="4281" spans="5:16" hidden="1" x14ac:dyDescent="0.25">
      <c r="E4281" s="43">
        <f>COUNTIF($O$7:O4281,FORMULARIO!$AA$2)</f>
        <v>1</v>
      </c>
      <c r="M4281" s="46"/>
      <c r="P4281" s="16"/>
    </row>
    <row r="4282" spans="5:16" hidden="1" x14ac:dyDescent="0.25">
      <c r="E4282" s="43">
        <f>COUNTIF($O$7:O4282,FORMULARIO!$AA$2)</f>
        <v>1</v>
      </c>
      <c r="M4282" s="46"/>
      <c r="P4282" s="16"/>
    </row>
    <row r="4283" spans="5:16" hidden="1" x14ac:dyDescent="0.25">
      <c r="E4283" s="43">
        <f>COUNTIF($O$7:O4283,FORMULARIO!$AA$2)</f>
        <v>1</v>
      </c>
      <c r="M4283" s="46"/>
      <c r="P4283" s="16"/>
    </row>
    <row r="4284" spans="5:16" hidden="1" x14ac:dyDescent="0.25">
      <c r="E4284" s="43">
        <f>COUNTIF($O$7:O4284,FORMULARIO!$AA$2)</f>
        <v>1</v>
      </c>
      <c r="M4284" s="46"/>
      <c r="P4284" s="16"/>
    </row>
    <row r="4285" spans="5:16" hidden="1" x14ac:dyDescent="0.25">
      <c r="E4285" s="43">
        <f>COUNTIF($O$7:O4285,FORMULARIO!$AA$2)</f>
        <v>1</v>
      </c>
      <c r="M4285" s="46"/>
      <c r="P4285" s="16"/>
    </row>
    <row r="4286" spans="5:16" hidden="1" x14ac:dyDescent="0.25">
      <c r="E4286" s="43">
        <f>COUNTIF($O$7:O4286,FORMULARIO!$AA$2)</f>
        <v>1</v>
      </c>
      <c r="M4286" s="46"/>
      <c r="P4286" s="16"/>
    </row>
    <row r="4287" spans="5:16" hidden="1" x14ac:dyDescent="0.25">
      <c r="E4287" s="43">
        <f>COUNTIF($O$7:O4287,FORMULARIO!$AA$2)</f>
        <v>1</v>
      </c>
      <c r="M4287" s="46"/>
      <c r="P4287" s="16"/>
    </row>
    <row r="4288" spans="5:16" hidden="1" x14ac:dyDescent="0.25">
      <c r="E4288" s="43">
        <f>COUNTIF($O$7:O4288,FORMULARIO!$AA$2)</f>
        <v>1</v>
      </c>
      <c r="M4288" s="46"/>
      <c r="P4288" s="16"/>
    </row>
    <row r="4289" spans="5:16" hidden="1" x14ac:dyDescent="0.25">
      <c r="E4289" s="43">
        <f>COUNTIF($O$7:O4289,FORMULARIO!$AA$2)</f>
        <v>1</v>
      </c>
      <c r="M4289" s="46"/>
      <c r="P4289" s="16"/>
    </row>
    <row r="4290" spans="5:16" hidden="1" x14ac:dyDescent="0.25">
      <c r="E4290" s="43">
        <f>COUNTIF($O$7:O4290,FORMULARIO!$AA$2)</f>
        <v>1</v>
      </c>
      <c r="M4290" s="46"/>
      <c r="P4290" s="16"/>
    </row>
    <row r="4291" spans="5:16" hidden="1" x14ac:dyDescent="0.25">
      <c r="E4291" s="43">
        <f>COUNTIF($O$7:O4291,FORMULARIO!$AA$2)</f>
        <v>1</v>
      </c>
      <c r="M4291" s="46"/>
      <c r="P4291" s="16"/>
    </row>
    <row r="4292" spans="5:16" hidden="1" x14ac:dyDescent="0.25">
      <c r="E4292" s="43">
        <f>COUNTIF($O$7:O4292,FORMULARIO!$AA$2)</f>
        <v>1</v>
      </c>
      <c r="M4292" s="46"/>
      <c r="P4292" s="16"/>
    </row>
    <row r="4293" spans="5:16" hidden="1" x14ac:dyDescent="0.25">
      <c r="E4293" s="43">
        <f>COUNTIF($O$7:O4293,FORMULARIO!$AA$2)</f>
        <v>1</v>
      </c>
      <c r="M4293" s="46"/>
      <c r="P4293" s="16"/>
    </row>
    <row r="4294" spans="5:16" hidden="1" x14ac:dyDescent="0.25">
      <c r="E4294" s="43">
        <f>COUNTIF($O$7:O4294,FORMULARIO!$AA$2)</f>
        <v>1</v>
      </c>
      <c r="M4294" s="46"/>
      <c r="P4294" s="16"/>
    </row>
    <row r="4295" spans="5:16" hidden="1" x14ac:dyDescent="0.25">
      <c r="E4295" s="43">
        <f>COUNTIF($O$7:O4295,FORMULARIO!$AA$2)</f>
        <v>1</v>
      </c>
      <c r="M4295" s="46"/>
      <c r="P4295" s="16"/>
    </row>
    <row r="4296" spans="5:16" hidden="1" x14ac:dyDescent="0.25">
      <c r="E4296" s="43">
        <f>COUNTIF($O$7:O4296,FORMULARIO!$AA$2)</f>
        <v>1</v>
      </c>
      <c r="M4296" s="46"/>
      <c r="P4296" s="16"/>
    </row>
    <row r="4297" spans="5:16" hidden="1" x14ac:dyDescent="0.25">
      <c r="E4297" s="43">
        <f>COUNTIF($O$7:O4297,FORMULARIO!$AA$2)</f>
        <v>1</v>
      </c>
      <c r="M4297" s="46"/>
      <c r="P4297" s="16"/>
    </row>
    <row r="4298" spans="5:16" hidden="1" x14ac:dyDescent="0.25">
      <c r="E4298" s="43">
        <f>COUNTIF($O$7:O4298,FORMULARIO!$AA$2)</f>
        <v>1</v>
      </c>
      <c r="M4298" s="46"/>
      <c r="P4298" s="16"/>
    </row>
    <row r="4299" spans="5:16" hidden="1" x14ac:dyDescent="0.25">
      <c r="E4299" s="43">
        <f>COUNTIF($O$7:O4299,FORMULARIO!$AA$2)</f>
        <v>1</v>
      </c>
      <c r="M4299" s="46"/>
      <c r="P4299" s="16"/>
    </row>
    <row r="4300" spans="5:16" hidden="1" x14ac:dyDescent="0.25">
      <c r="E4300" s="43">
        <f>COUNTIF($O$7:O4300,FORMULARIO!$AA$2)</f>
        <v>1</v>
      </c>
      <c r="M4300" s="46"/>
      <c r="P4300" s="16"/>
    </row>
    <row r="4301" spans="5:16" hidden="1" x14ac:dyDescent="0.25">
      <c r="E4301" s="43">
        <f>COUNTIF($O$7:O4301,FORMULARIO!$AA$2)</f>
        <v>1</v>
      </c>
      <c r="M4301" s="46"/>
      <c r="P4301" s="16"/>
    </row>
    <row r="4302" spans="5:16" hidden="1" x14ac:dyDescent="0.25">
      <c r="E4302" s="43">
        <f>COUNTIF($O$7:O4302,FORMULARIO!$AA$2)</f>
        <v>1</v>
      </c>
      <c r="M4302" s="46"/>
      <c r="P4302" s="16"/>
    </row>
    <row r="4303" spans="5:16" hidden="1" x14ac:dyDescent="0.25">
      <c r="E4303" s="43">
        <f>COUNTIF($O$7:O4303,FORMULARIO!$AA$2)</f>
        <v>1</v>
      </c>
      <c r="M4303" s="46"/>
      <c r="P4303" s="16"/>
    </row>
    <row r="4304" spans="5:16" hidden="1" x14ac:dyDescent="0.25">
      <c r="E4304" s="43">
        <f>COUNTIF($O$7:O4304,FORMULARIO!$AA$2)</f>
        <v>1</v>
      </c>
      <c r="M4304" s="46"/>
      <c r="P4304" s="16"/>
    </row>
    <row r="4305" spans="5:16" hidden="1" x14ac:dyDescent="0.25">
      <c r="E4305" s="43">
        <f>COUNTIF($O$7:O4305,FORMULARIO!$AA$2)</f>
        <v>1</v>
      </c>
      <c r="M4305" s="46"/>
      <c r="P4305" s="16"/>
    </row>
    <row r="4306" spans="5:16" hidden="1" x14ac:dyDescent="0.25">
      <c r="E4306" s="43">
        <f>COUNTIF($O$7:O4306,FORMULARIO!$AA$2)</f>
        <v>1</v>
      </c>
      <c r="M4306" s="46"/>
      <c r="P4306" s="16"/>
    </row>
    <row r="4307" spans="5:16" hidden="1" x14ac:dyDescent="0.25">
      <c r="E4307" s="43">
        <f>COUNTIF($O$7:O4307,FORMULARIO!$AA$2)</f>
        <v>1</v>
      </c>
      <c r="M4307" s="46"/>
      <c r="P4307" s="16"/>
    </row>
    <row r="4308" spans="5:16" hidden="1" x14ac:dyDescent="0.25">
      <c r="E4308" s="43">
        <f>COUNTIF($O$7:O4308,FORMULARIO!$AA$2)</f>
        <v>1</v>
      </c>
      <c r="M4308" s="46"/>
      <c r="P4308" s="16"/>
    </row>
    <row r="4309" spans="5:16" hidden="1" x14ac:dyDescent="0.25">
      <c r="E4309" s="43">
        <f>COUNTIF($O$7:O4309,FORMULARIO!$AA$2)</f>
        <v>1</v>
      </c>
      <c r="M4309" s="46"/>
      <c r="P4309" s="16"/>
    </row>
    <row r="4310" spans="5:16" hidden="1" x14ac:dyDescent="0.25">
      <c r="E4310" s="43">
        <f>COUNTIF($O$7:O4310,FORMULARIO!$AA$2)</f>
        <v>1</v>
      </c>
      <c r="M4310" s="46"/>
      <c r="P4310" s="16"/>
    </row>
    <row r="4311" spans="5:16" hidden="1" x14ac:dyDescent="0.25">
      <c r="E4311" s="43">
        <f>COUNTIF($O$7:O4311,FORMULARIO!$AA$2)</f>
        <v>1</v>
      </c>
      <c r="M4311" s="46"/>
      <c r="P4311" s="16"/>
    </row>
    <row r="4312" spans="5:16" hidden="1" x14ac:dyDescent="0.25">
      <c r="E4312" s="43">
        <f>COUNTIF($O$7:O4312,FORMULARIO!$AA$2)</f>
        <v>1</v>
      </c>
      <c r="M4312" s="46"/>
      <c r="P4312" s="16"/>
    </row>
    <row r="4313" spans="5:16" hidden="1" x14ac:dyDescent="0.25">
      <c r="E4313" s="43">
        <f>COUNTIF($O$7:O4313,FORMULARIO!$AA$2)</f>
        <v>1</v>
      </c>
      <c r="M4313" s="46"/>
      <c r="P4313" s="16"/>
    </row>
    <row r="4314" spans="5:16" hidden="1" x14ac:dyDescent="0.25">
      <c r="E4314" s="43">
        <f>COUNTIF($O$7:O4314,FORMULARIO!$AA$2)</f>
        <v>1</v>
      </c>
      <c r="M4314" s="46"/>
      <c r="P4314" s="16"/>
    </row>
    <row r="4315" spans="5:16" hidden="1" x14ac:dyDescent="0.25">
      <c r="E4315" s="43">
        <f>COUNTIF($O$7:O4315,FORMULARIO!$AA$2)</f>
        <v>1</v>
      </c>
      <c r="M4315" s="46"/>
      <c r="P4315" s="16"/>
    </row>
    <row r="4316" spans="5:16" hidden="1" x14ac:dyDescent="0.25">
      <c r="E4316" s="43">
        <f>COUNTIF($O$7:O4316,FORMULARIO!$AA$2)</f>
        <v>1</v>
      </c>
      <c r="M4316" s="46"/>
      <c r="P4316" s="16"/>
    </row>
    <row r="4317" spans="5:16" hidden="1" x14ac:dyDescent="0.25">
      <c r="E4317" s="43">
        <f>COUNTIF($O$7:O4317,FORMULARIO!$AA$2)</f>
        <v>1</v>
      </c>
      <c r="M4317" s="46"/>
      <c r="P4317" s="16"/>
    </row>
    <row r="4318" spans="5:16" hidden="1" x14ac:dyDescent="0.25">
      <c r="E4318" s="43">
        <f>COUNTIF($O$7:O4318,FORMULARIO!$AA$2)</f>
        <v>1</v>
      </c>
      <c r="M4318" s="46"/>
      <c r="P4318" s="16"/>
    </row>
    <row r="4319" spans="5:16" hidden="1" x14ac:dyDescent="0.25">
      <c r="E4319" s="43">
        <f>COUNTIF($O$7:O4319,FORMULARIO!$AA$2)</f>
        <v>1</v>
      </c>
      <c r="M4319" s="46"/>
      <c r="P4319" s="16"/>
    </row>
    <row r="4320" spans="5:16" hidden="1" x14ac:dyDescent="0.25">
      <c r="E4320" s="43">
        <f>COUNTIF($O$7:O4320,FORMULARIO!$AA$2)</f>
        <v>1</v>
      </c>
      <c r="M4320" s="46"/>
      <c r="P4320" s="16"/>
    </row>
    <row r="4321" spans="5:16" hidden="1" x14ac:dyDescent="0.25">
      <c r="E4321" s="43">
        <f>COUNTIF($O$7:O4321,FORMULARIO!$AA$2)</f>
        <v>1</v>
      </c>
      <c r="M4321" s="46"/>
      <c r="P4321" s="16"/>
    </row>
    <row r="4322" spans="5:16" hidden="1" x14ac:dyDescent="0.25">
      <c r="E4322" s="43">
        <f>COUNTIF($O$7:O4322,FORMULARIO!$AA$2)</f>
        <v>1</v>
      </c>
      <c r="M4322" s="46"/>
      <c r="P4322" s="16"/>
    </row>
    <row r="4323" spans="5:16" hidden="1" x14ac:dyDescent="0.25">
      <c r="E4323" s="43">
        <f>COUNTIF($O$7:O4323,FORMULARIO!$AA$2)</f>
        <v>1</v>
      </c>
      <c r="M4323" s="46"/>
      <c r="P4323" s="16"/>
    </row>
    <row r="4324" spans="5:16" hidden="1" x14ac:dyDescent="0.25">
      <c r="E4324" s="43">
        <f>COUNTIF($O$7:O4324,FORMULARIO!$AA$2)</f>
        <v>1</v>
      </c>
      <c r="M4324" s="46"/>
      <c r="P4324" s="16"/>
    </row>
    <row r="4325" spans="5:16" hidden="1" x14ac:dyDescent="0.25">
      <c r="E4325" s="43">
        <f>COUNTIF($O$7:O4325,FORMULARIO!$AA$2)</f>
        <v>1</v>
      </c>
      <c r="M4325" s="46"/>
      <c r="P4325" s="16"/>
    </row>
    <row r="4326" spans="5:16" hidden="1" x14ac:dyDescent="0.25">
      <c r="E4326" s="43">
        <f>COUNTIF($O$7:O4326,FORMULARIO!$AA$2)</f>
        <v>1</v>
      </c>
      <c r="M4326" s="46"/>
      <c r="P4326" s="16"/>
    </row>
    <row r="4327" spans="5:16" hidden="1" x14ac:dyDescent="0.25">
      <c r="E4327" s="43">
        <f>COUNTIF($O$7:O4327,FORMULARIO!$AA$2)</f>
        <v>1</v>
      </c>
      <c r="M4327" s="46"/>
      <c r="P4327" s="16"/>
    </row>
    <row r="4328" spans="5:16" hidden="1" x14ac:dyDescent="0.25">
      <c r="E4328" s="43">
        <f>COUNTIF($O$7:O4328,FORMULARIO!$AA$2)</f>
        <v>1</v>
      </c>
      <c r="M4328" s="46"/>
      <c r="P4328" s="16"/>
    </row>
    <row r="4329" spans="5:16" hidden="1" x14ac:dyDescent="0.25">
      <c r="E4329" s="43">
        <f>COUNTIF($O$7:O4329,FORMULARIO!$AA$2)</f>
        <v>1</v>
      </c>
      <c r="M4329" s="46"/>
      <c r="P4329" s="16"/>
    </row>
    <row r="4330" spans="5:16" hidden="1" x14ac:dyDescent="0.25">
      <c r="E4330" s="43">
        <f>COUNTIF($O$7:O4330,FORMULARIO!$AA$2)</f>
        <v>1</v>
      </c>
      <c r="M4330" s="46"/>
      <c r="P4330" s="16"/>
    </row>
    <row r="4331" spans="5:16" hidden="1" x14ac:dyDescent="0.25">
      <c r="E4331" s="43">
        <f>COUNTIF($O$7:O4331,FORMULARIO!$AA$2)</f>
        <v>1</v>
      </c>
      <c r="M4331" s="46"/>
      <c r="P4331" s="16"/>
    </row>
    <row r="4332" spans="5:16" hidden="1" x14ac:dyDescent="0.25">
      <c r="E4332" s="43">
        <f>COUNTIF($O$7:O4332,FORMULARIO!$AA$2)</f>
        <v>1</v>
      </c>
      <c r="M4332" s="46"/>
      <c r="P4332" s="16"/>
    </row>
    <row r="4333" spans="5:16" hidden="1" x14ac:dyDescent="0.25">
      <c r="E4333" s="43">
        <f>COUNTIF($O$7:O4333,FORMULARIO!$AA$2)</f>
        <v>1</v>
      </c>
      <c r="M4333" s="46"/>
      <c r="P4333" s="16"/>
    </row>
    <row r="4334" spans="5:16" hidden="1" x14ac:dyDescent="0.25">
      <c r="E4334" s="43">
        <f>COUNTIF($O$7:O4334,FORMULARIO!$AA$2)</f>
        <v>1</v>
      </c>
      <c r="M4334" s="46"/>
      <c r="P4334" s="16"/>
    </row>
    <row r="4335" spans="5:16" hidden="1" x14ac:dyDescent="0.25">
      <c r="E4335" s="43">
        <f>COUNTIF($O$7:O4335,FORMULARIO!$AA$2)</f>
        <v>1</v>
      </c>
      <c r="M4335" s="46"/>
      <c r="P4335" s="16"/>
    </row>
    <row r="4336" spans="5:16" hidden="1" x14ac:dyDescent="0.25">
      <c r="E4336" s="43">
        <f>COUNTIF($O$7:O4336,FORMULARIO!$AA$2)</f>
        <v>1</v>
      </c>
      <c r="M4336" s="46"/>
      <c r="P4336" s="16"/>
    </row>
    <row r="4337" spans="5:16" hidden="1" x14ac:dyDescent="0.25">
      <c r="E4337" s="43">
        <f>COUNTIF($O$7:O4337,FORMULARIO!$AA$2)</f>
        <v>1</v>
      </c>
      <c r="M4337" s="46"/>
      <c r="P4337" s="16"/>
    </row>
    <row r="4338" spans="5:16" hidden="1" x14ac:dyDescent="0.25">
      <c r="E4338" s="43">
        <f>COUNTIF($O$7:O4338,FORMULARIO!$AA$2)</f>
        <v>1</v>
      </c>
      <c r="M4338" s="46"/>
      <c r="P4338" s="16"/>
    </row>
    <row r="4339" spans="5:16" hidden="1" x14ac:dyDescent="0.25">
      <c r="E4339" s="43">
        <f>COUNTIF($O$7:O4339,FORMULARIO!$AA$2)</f>
        <v>1</v>
      </c>
      <c r="M4339" s="46"/>
      <c r="P4339" s="16"/>
    </row>
    <row r="4340" spans="5:16" hidden="1" x14ac:dyDescent="0.25">
      <c r="E4340" s="43">
        <f>COUNTIF($O$7:O4340,FORMULARIO!$AA$2)</f>
        <v>1</v>
      </c>
      <c r="M4340" s="46"/>
      <c r="P4340" s="16"/>
    </row>
    <row r="4341" spans="5:16" hidden="1" x14ac:dyDescent="0.25">
      <c r="E4341" s="43">
        <f>COUNTIF($O$7:O4341,FORMULARIO!$AA$2)</f>
        <v>1</v>
      </c>
      <c r="M4341" s="46"/>
      <c r="P4341" s="16"/>
    </row>
    <row r="4342" spans="5:16" hidden="1" x14ac:dyDescent="0.25">
      <c r="E4342" s="43">
        <f>COUNTIF($O$7:O4342,FORMULARIO!$AA$2)</f>
        <v>1</v>
      </c>
      <c r="M4342" s="46"/>
      <c r="P4342" s="16"/>
    </row>
    <row r="4343" spans="5:16" hidden="1" x14ac:dyDescent="0.25">
      <c r="E4343" s="43">
        <f>COUNTIF($O$7:O4343,FORMULARIO!$AA$2)</f>
        <v>1</v>
      </c>
      <c r="M4343" s="46"/>
      <c r="P4343" s="16"/>
    </row>
    <row r="4344" spans="5:16" hidden="1" x14ac:dyDescent="0.25">
      <c r="E4344" s="43">
        <f>COUNTIF($O$7:O4344,FORMULARIO!$AA$2)</f>
        <v>1</v>
      </c>
      <c r="M4344" s="46"/>
      <c r="P4344" s="16"/>
    </row>
    <row r="4345" spans="5:16" hidden="1" x14ac:dyDescent="0.25">
      <c r="E4345" s="43">
        <f>COUNTIF($O$7:O4345,FORMULARIO!$AA$2)</f>
        <v>1</v>
      </c>
      <c r="M4345" s="46"/>
      <c r="P4345" s="16"/>
    </row>
    <row r="4346" spans="5:16" hidden="1" x14ac:dyDescent="0.25">
      <c r="E4346" s="43">
        <f>COUNTIF($O$7:O4346,FORMULARIO!$AA$2)</f>
        <v>1</v>
      </c>
      <c r="M4346" s="46"/>
      <c r="P4346" s="16"/>
    </row>
    <row r="4347" spans="5:16" hidden="1" x14ac:dyDescent="0.25">
      <c r="E4347" s="43">
        <f>COUNTIF($O$7:O4347,FORMULARIO!$AA$2)</f>
        <v>1</v>
      </c>
      <c r="M4347" s="46"/>
      <c r="P4347" s="16"/>
    </row>
    <row r="4348" spans="5:16" hidden="1" x14ac:dyDescent="0.25">
      <c r="E4348" s="43">
        <f>COUNTIF($O$7:O4348,FORMULARIO!$AA$2)</f>
        <v>1</v>
      </c>
      <c r="M4348" s="46"/>
      <c r="P4348" s="16"/>
    </row>
    <row r="4349" spans="5:16" hidden="1" x14ac:dyDescent="0.25">
      <c r="E4349" s="43">
        <f>COUNTIF($O$7:O4349,FORMULARIO!$AA$2)</f>
        <v>1</v>
      </c>
      <c r="M4349" s="46"/>
      <c r="P4349" s="16"/>
    </row>
    <row r="4350" spans="5:16" hidden="1" x14ac:dyDescent="0.25">
      <c r="E4350" s="43">
        <f>COUNTIF($O$7:O4350,FORMULARIO!$AA$2)</f>
        <v>1</v>
      </c>
      <c r="M4350" s="46"/>
      <c r="P4350" s="16"/>
    </row>
    <row r="4351" spans="5:16" hidden="1" x14ac:dyDescent="0.25">
      <c r="E4351" s="43">
        <f>COUNTIF($O$7:O4351,FORMULARIO!$AA$2)</f>
        <v>1</v>
      </c>
      <c r="M4351" s="46"/>
      <c r="P4351" s="16"/>
    </row>
    <row r="4352" spans="5:16" hidden="1" x14ac:dyDescent="0.25">
      <c r="E4352" s="43">
        <f>COUNTIF($O$7:O4352,FORMULARIO!$AA$2)</f>
        <v>1</v>
      </c>
      <c r="M4352" s="46"/>
      <c r="P4352" s="16"/>
    </row>
    <row r="4353" spans="5:16" hidden="1" x14ac:dyDescent="0.25">
      <c r="E4353" s="43">
        <f>COUNTIF($O$7:O4353,FORMULARIO!$AA$2)</f>
        <v>1</v>
      </c>
      <c r="M4353" s="46"/>
      <c r="P4353" s="16"/>
    </row>
    <row r="4354" spans="5:16" hidden="1" x14ac:dyDescent="0.25">
      <c r="E4354" s="43">
        <f>COUNTIF($O$7:O4354,FORMULARIO!$AA$2)</f>
        <v>1</v>
      </c>
      <c r="M4354" s="46"/>
      <c r="P4354" s="16"/>
    </row>
    <row r="4355" spans="5:16" hidden="1" x14ac:dyDescent="0.25">
      <c r="E4355" s="43">
        <f>COUNTIF($O$7:O4355,FORMULARIO!$AA$2)</f>
        <v>1</v>
      </c>
      <c r="M4355" s="46"/>
      <c r="P4355" s="16"/>
    </row>
    <row r="4356" spans="5:16" hidden="1" x14ac:dyDescent="0.25">
      <c r="E4356" s="43">
        <f>COUNTIF($O$7:O4356,FORMULARIO!$AA$2)</f>
        <v>1</v>
      </c>
      <c r="M4356" s="46"/>
      <c r="P4356" s="16"/>
    </row>
    <row r="4357" spans="5:16" hidden="1" x14ac:dyDescent="0.25">
      <c r="E4357" s="43">
        <f>COUNTIF($O$7:O4357,FORMULARIO!$AA$2)</f>
        <v>1</v>
      </c>
      <c r="M4357" s="46"/>
      <c r="P4357" s="16"/>
    </row>
    <row r="4358" spans="5:16" hidden="1" x14ac:dyDescent="0.25">
      <c r="E4358" s="43">
        <f>COUNTIF($O$7:O4358,FORMULARIO!$AA$2)</f>
        <v>1</v>
      </c>
      <c r="M4358" s="46"/>
      <c r="P4358" s="16"/>
    </row>
    <row r="4359" spans="5:16" hidden="1" x14ac:dyDescent="0.25">
      <c r="E4359" s="43">
        <f>COUNTIF($O$7:O4359,FORMULARIO!$AA$2)</f>
        <v>1</v>
      </c>
      <c r="M4359" s="46"/>
      <c r="P4359" s="16"/>
    </row>
    <row r="4360" spans="5:16" hidden="1" x14ac:dyDescent="0.25">
      <c r="E4360" s="43">
        <f>COUNTIF($O$7:O4360,FORMULARIO!$AA$2)</f>
        <v>1</v>
      </c>
      <c r="M4360" s="46"/>
      <c r="P4360" s="16"/>
    </row>
    <row r="4361" spans="5:16" hidden="1" x14ac:dyDescent="0.25">
      <c r="E4361" s="43">
        <f>COUNTIF($O$7:O4361,FORMULARIO!$AA$2)</f>
        <v>1</v>
      </c>
      <c r="M4361" s="46"/>
      <c r="P4361" s="16"/>
    </row>
    <row r="4362" spans="5:16" hidden="1" x14ac:dyDescent="0.25">
      <c r="E4362" s="43">
        <f>COUNTIF($O$7:O4362,FORMULARIO!$AA$2)</f>
        <v>1</v>
      </c>
      <c r="M4362" s="46"/>
      <c r="P4362" s="16"/>
    </row>
    <row r="4363" spans="5:16" hidden="1" x14ac:dyDescent="0.25">
      <c r="E4363" s="43">
        <f>COUNTIF($O$7:O4363,FORMULARIO!$AA$2)</f>
        <v>1</v>
      </c>
      <c r="M4363" s="46"/>
      <c r="P4363" s="16"/>
    </row>
    <row r="4364" spans="5:16" hidden="1" x14ac:dyDescent="0.25">
      <c r="E4364" s="43">
        <f>COUNTIF($O$7:O4364,FORMULARIO!$AA$2)</f>
        <v>1</v>
      </c>
      <c r="M4364" s="46"/>
      <c r="P4364" s="16"/>
    </row>
    <row r="4365" spans="5:16" hidden="1" x14ac:dyDescent="0.25">
      <c r="E4365" s="43">
        <f>COUNTIF($O$7:O4365,FORMULARIO!$AA$2)</f>
        <v>1</v>
      </c>
      <c r="M4365" s="46"/>
      <c r="P4365" s="16"/>
    </row>
    <row r="4366" spans="5:16" hidden="1" x14ac:dyDescent="0.25">
      <c r="E4366" s="43">
        <f>COUNTIF($O$7:O4366,FORMULARIO!$AA$2)</f>
        <v>1</v>
      </c>
      <c r="M4366" s="46"/>
      <c r="P4366" s="16"/>
    </row>
    <row r="4367" spans="5:16" hidden="1" x14ac:dyDescent="0.25">
      <c r="E4367" s="43">
        <f>COUNTIF($O$7:O4367,FORMULARIO!$AA$2)</f>
        <v>1</v>
      </c>
      <c r="M4367" s="46"/>
      <c r="P4367" s="16"/>
    </row>
    <row r="4368" spans="5:16" hidden="1" x14ac:dyDescent="0.25">
      <c r="E4368" s="43">
        <f>COUNTIF($O$7:O4368,FORMULARIO!$AA$2)</f>
        <v>1</v>
      </c>
      <c r="M4368" s="46"/>
      <c r="P4368" s="16"/>
    </row>
    <row r="4369" spans="5:16" hidden="1" x14ac:dyDescent="0.25">
      <c r="E4369" s="43">
        <f>COUNTIF($O$7:O4369,FORMULARIO!$AA$2)</f>
        <v>1</v>
      </c>
      <c r="M4369" s="46"/>
      <c r="P4369" s="16"/>
    </row>
    <row r="4370" spans="5:16" hidden="1" x14ac:dyDescent="0.25">
      <c r="E4370" s="43">
        <f>COUNTIF($O$7:O4370,FORMULARIO!$AA$2)</f>
        <v>1</v>
      </c>
      <c r="M4370" s="46"/>
      <c r="P4370" s="16"/>
    </row>
    <row r="4371" spans="5:16" hidden="1" x14ac:dyDescent="0.25">
      <c r="E4371" s="43">
        <f>COUNTIF($O$7:O4371,FORMULARIO!$AA$2)</f>
        <v>1</v>
      </c>
      <c r="M4371" s="46"/>
      <c r="P4371" s="16"/>
    </row>
    <row r="4372" spans="5:16" hidden="1" x14ac:dyDescent="0.25">
      <c r="E4372" s="43">
        <f>COUNTIF($O$7:O4372,FORMULARIO!$AA$2)</f>
        <v>1</v>
      </c>
      <c r="M4372" s="46"/>
      <c r="P4372" s="16"/>
    </row>
    <row r="4373" spans="5:16" hidden="1" x14ac:dyDescent="0.25">
      <c r="E4373" s="43">
        <f>COUNTIF($O$7:O4373,FORMULARIO!$AA$2)</f>
        <v>1</v>
      </c>
      <c r="M4373" s="46"/>
      <c r="P4373" s="16"/>
    </row>
    <row r="4374" spans="5:16" hidden="1" x14ac:dyDescent="0.25">
      <c r="E4374" s="43">
        <f>COUNTIF($O$7:O4374,FORMULARIO!$AA$2)</f>
        <v>1</v>
      </c>
      <c r="M4374" s="46"/>
      <c r="P4374" s="16"/>
    </row>
    <row r="4375" spans="5:16" hidden="1" x14ac:dyDescent="0.25">
      <c r="E4375" s="43">
        <f>COUNTIF($O$7:O4375,FORMULARIO!$AA$2)</f>
        <v>1</v>
      </c>
      <c r="M4375" s="46"/>
      <c r="P4375" s="16"/>
    </row>
    <row r="4376" spans="5:16" hidden="1" x14ac:dyDescent="0.25">
      <c r="E4376" s="43">
        <f>COUNTIF($O$7:O4376,FORMULARIO!$AA$2)</f>
        <v>1</v>
      </c>
      <c r="M4376" s="46"/>
      <c r="P4376" s="16"/>
    </row>
    <row r="4377" spans="5:16" hidden="1" x14ac:dyDescent="0.25">
      <c r="E4377" s="43">
        <f>COUNTIF($O$7:O4377,FORMULARIO!$AA$2)</f>
        <v>1</v>
      </c>
      <c r="M4377" s="46"/>
      <c r="P4377" s="16"/>
    </row>
    <row r="4378" spans="5:16" hidden="1" x14ac:dyDescent="0.25">
      <c r="E4378" s="43">
        <f>COUNTIF($O$7:O4378,FORMULARIO!$AA$2)</f>
        <v>1</v>
      </c>
      <c r="M4378" s="46"/>
      <c r="P4378" s="16"/>
    </row>
    <row r="4379" spans="5:16" hidden="1" x14ac:dyDescent="0.25">
      <c r="E4379" s="43">
        <f>COUNTIF($O$7:O4379,FORMULARIO!$AA$2)</f>
        <v>1</v>
      </c>
      <c r="M4379" s="46"/>
      <c r="P4379" s="16"/>
    </row>
    <row r="4380" spans="5:16" hidden="1" x14ac:dyDescent="0.25">
      <c r="E4380" s="43">
        <f>COUNTIF($O$7:O4380,FORMULARIO!$AA$2)</f>
        <v>1</v>
      </c>
      <c r="M4380" s="46"/>
      <c r="P4380" s="16"/>
    </row>
    <row r="4381" spans="5:16" hidden="1" x14ac:dyDescent="0.25">
      <c r="E4381" s="43">
        <f>COUNTIF($O$7:O4381,FORMULARIO!$AA$2)</f>
        <v>1</v>
      </c>
      <c r="M4381" s="46"/>
      <c r="P4381" s="16"/>
    </row>
    <row r="4382" spans="5:16" hidden="1" x14ac:dyDescent="0.25">
      <c r="E4382" s="43">
        <f>COUNTIF($O$7:O4382,FORMULARIO!$AA$2)</f>
        <v>1</v>
      </c>
      <c r="M4382" s="46"/>
      <c r="P4382" s="16"/>
    </row>
    <row r="4383" spans="5:16" hidden="1" x14ac:dyDescent="0.25">
      <c r="E4383" s="43">
        <f>COUNTIF($O$7:O4383,FORMULARIO!$AA$2)</f>
        <v>1</v>
      </c>
      <c r="M4383" s="46"/>
      <c r="P4383" s="16"/>
    </row>
    <row r="4384" spans="5:16" hidden="1" x14ac:dyDescent="0.25">
      <c r="E4384" s="43">
        <f>COUNTIF($O$7:O4384,FORMULARIO!$AA$2)</f>
        <v>1</v>
      </c>
      <c r="M4384" s="46"/>
      <c r="P4384" s="16"/>
    </row>
    <row r="4385" spans="5:16" hidden="1" x14ac:dyDescent="0.25">
      <c r="E4385" s="43">
        <f>COUNTIF($O$7:O4385,FORMULARIO!$AA$2)</f>
        <v>1</v>
      </c>
      <c r="M4385" s="46"/>
      <c r="P4385" s="16"/>
    </row>
    <row r="4386" spans="5:16" hidden="1" x14ac:dyDescent="0.25">
      <c r="E4386" s="43">
        <f>COUNTIF($O$7:O4386,FORMULARIO!$AA$2)</f>
        <v>1</v>
      </c>
      <c r="M4386" s="46"/>
      <c r="P4386" s="16"/>
    </row>
    <row r="4387" spans="5:16" hidden="1" x14ac:dyDescent="0.25">
      <c r="E4387" s="43">
        <f>COUNTIF($O$7:O4387,FORMULARIO!$AA$2)</f>
        <v>1</v>
      </c>
      <c r="M4387" s="46"/>
      <c r="P4387" s="16"/>
    </row>
    <row r="4388" spans="5:16" hidden="1" x14ac:dyDescent="0.25">
      <c r="E4388" s="43">
        <f>COUNTIF($O$7:O4388,FORMULARIO!$AA$2)</f>
        <v>1</v>
      </c>
      <c r="M4388" s="46"/>
      <c r="P4388" s="16"/>
    </row>
    <row r="4389" spans="5:16" hidden="1" x14ac:dyDescent="0.25">
      <c r="E4389" s="43">
        <f>COUNTIF($O$7:O4389,FORMULARIO!$AA$2)</f>
        <v>1</v>
      </c>
      <c r="M4389" s="46"/>
      <c r="P4389" s="16"/>
    </row>
    <row r="4390" spans="5:16" hidden="1" x14ac:dyDescent="0.25">
      <c r="E4390" s="43">
        <f>COUNTIF($O$7:O4390,FORMULARIO!$AA$2)</f>
        <v>1</v>
      </c>
      <c r="M4390" s="46"/>
      <c r="P4390" s="16"/>
    </row>
    <row r="4391" spans="5:16" hidden="1" x14ac:dyDescent="0.25">
      <c r="E4391" s="43">
        <f>COUNTIF($O$7:O4391,FORMULARIO!$AA$2)</f>
        <v>1</v>
      </c>
      <c r="M4391" s="46"/>
      <c r="P4391" s="16"/>
    </row>
    <row r="4392" spans="5:16" hidden="1" x14ac:dyDescent="0.25">
      <c r="E4392" s="43">
        <f>COUNTIF($O$7:O4392,FORMULARIO!$AA$2)</f>
        <v>1</v>
      </c>
      <c r="M4392" s="46"/>
      <c r="P4392" s="16"/>
    </row>
    <row r="4393" spans="5:16" hidden="1" x14ac:dyDescent="0.25">
      <c r="E4393" s="43">
        <f>COUNTIF($O$7:O4393,FORMULARIO!$AA$2)</f>
        <v>1</v>
      </c>
      <c r="M4393" s="46"/>
      <c r="P4393" s="16"/>
    </row>
    <row r="4394" spans="5:16" hidden="1" x14ac:dyDescent="0.25">
      <c r="E4394" s="43">
        <f>COUNTIF($O$7:O4394,FORMULARIO!$AA$2)</f>
        <v>1</v>
      </c>
      <c r="M4394" s="46"/>
      <c r="P4394" s="16"/>
    </row>
    <row r="4395" spans="5:16" hidden="1" x14ac:dyDescent="0.25">
      <c r="E4395" s="43">
        <f>COUNTIF($O$7:O4395,FORMULARIO!$AA$2)</f>
        <v>1</v>
      </c>
      <c r="M4395" s="46"/>
      <c r="P4395" s="16"/>
    </row>
    <row r="4396" spans="5:16" hidden="1" x14ac:dyDescent="0.25">
      <c r="E4396" s="43">
        <f>COUNTIF($O$7:O4396,FORMULARIO!$AA$2)</f>
        <v>1</v>
      </c>
      <c r="M4396" s="46"/>
      <c r="P4396" s="16"/>
    </row>
    <row r="4397" spans="5:16" hidden="1" x14ac:dyDescent="0.25">
      <c r="E4397" s="43">
        <f>COUNTIF($O$7:O4397,FORMULARIO!$AA$2)</f>
        <v>1</v>
      </c>
      <c r="M4397" s="46"/>
      <c r="P4397" s="16"/>
    </row>
    <row r="4398" spans="5:16" hidden="1" x14ac:dyDescent="0.25">
      <c r="E4398" s="43">
        <f>COUNTIF($O$7:O4398,FORMULARIO!$AA$2)</f>
        <v>1</v>
      </c>
      <c r="M4398" s="46"/>
      <c r="P4398" s="16"/>
    </row>
    <row r="4399" spans="5:16" hidden="1" x14ac:dyDescent="0.25">
      <c r="E4399" s="43">
        <f>COUNTIF($O$7:O4399,FORMULARIO!$AA$2)</f>
        <v>1</v>
      </c>
      <c r="M4399" s="46"/>
      <c r="P4399" s="16"/>
    </row>
    <row r="4400" spans="5:16" hidden="1" x14ac:dyDescent="0.25">
      <c r="E4400" s="43">
        <f>COUNTIF($O$7:O4400,FORMULARIO!$AA$2)</f>
        <v>1</v>
      </c>
      <c r="M4400" s="46"/>
      <c r="P4400" s="16"/>
    </row>
    <row r="4401" spans="5:16" hidden="1" x14ac:dyDescent="0.25">
      <c r="E4401" s="43">
        <f>COUNTIF($O$7:O4401,FORMULARIO!$AA$2)</f>
        <v>1</v>
      </c>
      <c r="M4401" s="46"/>
      <c r="P4401" s="16"/>
    </row>
    <row r="4402" spans="5:16" hidden="1" x14ac:dyDescent="0.25">
      <c r="E4402" s="43">
        <f>COUNTIF($O$7:O4402,FORMULARIO!$AA$2)</f>
        <v>1</v>
      </c>
      <c r="M4402" s="46"/>
      <c r="P4402" s="16"/>
    </row>
    <row r="4403" spans="5:16" hidden="1" x14ac:dyDescent="0.25">
      <c r="E4403" s="43">
        <f>COUNTIF($O$7:O4403,FORMULARIO!$AA$2)</f>
        <v>1</v>
      </c>
      <c r="M4403" s="46"/>
      <c r="P4403" s="16"/>
    </row>
    <row r="4404" spans="5:16" hidden="1" x14ac:dyDescent="0.25">
      <c r="E4404" s="43">
        <f>COUNTIF($O$7:O4404,FORMULARIO!$AA$2)</f>
        <v>1</v>
      </c>
      <c r="M4404" s="46"/>
      <c r="P4404" s="16"/>
    </row>
    <row r="4405" spans="5:16" hidden="1" x14ac:dyDescent="0.25">
      <c r="E4405" s="43">
        <f>COUNTIF($O$7:O4405,FORMULARIO!$AA$2)</f>
        <v>1</v>
      </c>
      <c r="M4405" s="46"/>
      <c r="P4405" s="16"/>
    </row>
    <row r="4406" spans="5:16" hidden="1" x14ac:dyDescent="0.25">
      <c r="E4406" s="43">
        <f>COUNTIF($O$7:O4406,FORMULARIO!$AA$2)</f>
        <v>1</v>
      </c>
      <c r="M4406" s="46"/>
      <c r="P4406" s="16"/>
    </row>
    <row r="4407" spans="5:16" hidden="1" x14ac:dyDescent="0.25">
      <c r="E4407" s="43">
        <f>COUNTIF($O$7:O4407,FORMULARIO!$AA$2)</f>
        <v>1</v>
      </c>
      <c r="M4407" s="46"/>
      <c r="P4407" s="16"/>
    </row>
    <row r="4408" spans="5:16" hidden="1" x14ac:dyDescent="0.25">
      <c r="E4408" s="43">
        <f>COUNTIF($O$7:O4408,FORMULARIO!$AA$2)</f>
        <v>1</v>
      </c>
      <c r="M4408" s="46"/>
      <c r="P4408" s="16"/>
    </row>
    <row r="4409" spans="5:16" hidden="1" x14ac:dyDescent="0.25">
      <c r="E4409" s="43">
        <f>COUNTIF($O$7:O4409,FORMULARIO!$AA$2)</f>
        <v>1</v>
      </c>
      <c r="M4409" s="46"/>
      <c r="P4409" s="16"/>
    </row>
    <row r="4410" spans="5:16" hidden="1" x14ac:dyDescent="0.25">
      <c r="E4410" s="43">
        <f>COUNTIF($O$7:O4410,FORMULARIO!$AA$2)</f>
        <v>1</v>
      </c>
      <c r="M4410" s="46"/>
      <c r="P4410" s="16"/>
    </row>
    <row r="4411" spans="5:16" hidden="1" x14ac:dyDescent="0.25">
      <c r="E4411" s="43">
        <f>COUNTIF($O$7:O4411,FORMULARIO!$AA$2)</f>
        <v>1</v>
      </c>
      <c r="M4411" s="46"/>
      <c r="P4411" s="16"/>
    </row>
    <row r="4412" spans="5:16" hidden="1" x14ac:dyDescent="0.25">
      <c r="E4412" s="43">
        <f>COUNTIF($O$7:O4412,FORMULARIO!$AA$2)</f>
        <v>1</v>
      </c>
      <c r="M4412" s="46"/>
      <c r="P4412" s="16"/>
    </row>
    <row r="4413" spans="5:16" hidden="1" x14ac:dyDescent="0.25">
      <c r="E4413" s="43">
        <f>COUNTIF($O$7:O4413,FORMULARIO!$AA$2)</f>
        <v>1</v>
      </c>
      <c r="M4413" s="46"/>
      <c r="P4413" s="16"/>
    </row>
    <row r="4414" spans="5:16" hidden="1" x14ac:dyDescent="0.25">
      <c r="E4414" s="43">
        <f>COUNTIF($O$7:O4414,FORMULARIO!$AA$2)</f>
        <v>1</v>
      </c>
      <c r="M4414" s="46"/>
      <c r="P4414" s="16"/>
    </row>
    <row r="4415" spans="5:16" hidden="1" x14ac:dyDescent="0.25">
      <c r="E4415" s="43">
        <f>COUNTIF($O$7:O4415,FORMULARIO!$AA$2)</f>
        <v>1</v>
      </c>
      <c r="M4415" s="46"/>
      <c r="P4415" s="16"/>
    </row>
    <row r="4416" spans="5:16" hidden="1" x14ac:dyDescent="0.25">
      <c r="E4416" s="43">
        <f>COUNTIF($O$7:O4416,FORMULARIO!$AA$2)</f>
        <v>1</v>
      </c>
      <c r="M4416" s="46"/>
      <c r="P4416" s="16"/>
    </row>
    <row r="4417" spans="5:16" hidden="1" x14ac:dyDescent="0.25">
      <c r="E4417" s="43">
        <f>COUNTIF($O$7:O4417,FORMULARIO!$AA$2)</f>
        <v>1</v>
      </c>
      <c r="M4417" s="46"/>
      <c r="P4417" s="16"/>
    </row>
    <row r="4418" spans="5:16" hidden="1" x14ac:dyDescent="0.25">
      <c r="E4418" s="43">
        <f>COUNTIF($O$7:O4418,FORMULARIO!$AA$2)</f>
        <v>1</v>
      </c>
      <c r="M4418" s="46"/>
      <c r="P4418" s="16"/>
    </row>
    <row r="4419" spans="5:16" hidden="1" x14ac:dyDescent="0.25">
      <c r="E4419" s="43">
        <f>COUNTIF($O$7:O4419,FORMULARIO!$AA$2)</f>
        <v>1</v>
      </c>
      <c r="M4419" s="46"/>
      <c r="P4419" s="16"/>
    </row>
    <row r="4420" spans="5:16" hidden="1" x14ac:dyDescent="0.25">
      <c r="E4420" s="43">
        <f>COUNTIF($O$7:O4420,FORMULARIO!$AA$2)</f>
        <v>1</v>
      </c>
      <c r="M4420" s="46"/>
      <c r="P4420" s="16"/>
    </row>
    <row r="4421" spans="5:16" hidden="1" x14ac:dyDescent="0.25">
      <c r="E4421" s="43">
        <f>COUNTIF($O$7:O4421,FORMULARIO!$AA$2)</f>
        <v>1</v>
      </c>
      <c r="M4421" s="46"/>
      <c r="P4421" s="16"/>
    </row>
    <row r="4422" spans="5:16" hidden="1" x14ac:dyDescent="0.25">
      <c r="E4422" s="43">
        <f>COUNTIF($O$7:O4422,FORMULARIO!$AA$2)</f>
        <v>1</v>
      </c>
      <c r="M4422" s="46"/>
      <c r="P4422" s="16"/>
    </row>
    <row r="4423" spans="5:16" hidden="1" x14ac:dyDescent="0.25">
      <c r="E4423" s="43">
        <f>COUNTIF($O$7:O4423,FORMULARIO!$AA$2)</f>
        <v>1</v>
      </c>
      <c r="M4423" s="46"/>
      <c r="P4423" s="16"/>
    </row>
    <row r="4424" spans="5:16" hidden="1" x14ac:dyDescent="0.25">
      <c r="E4424" s="43">
        <f>COUNTIF($O$7:O4424,FORMULARIO!$AA$2)</f>
        <v>1</v>
      </c>
      <c r="M4424" s="46"/>
      <c r="P4424" s="16"/>
    </row>
    <row r="4425" spans="5:16" hidden="1" x14ac:dyDescent="0.25">
      <c r="E4425" s="43">
        <f>COUNTIF($O$7:O4425,FORMULARIO!$AA$2)</f>
        <v>1</v>
      </c>
      <c r="M4425" s="46"/>
      <c r="P4425" s="16"/>
    </row>
    <row r="4426" spans="5:16" hidden="1" x14ac:dyDescent="0.25">
      <c r="E4426" s="43">
        <f>COUNTIF($O$7:O4426,FORMULARIO!$AA$2)</f>
        <v>1</v>
      </c>
      <c r="M4426" s="46"/>
      <c r="P4426" s="16"/>
    </row>
    <row r="4427" spans="5:16" hidden="1" x14ac:dyDescent="0.25">
      <c r="E4427" s="43">
        <f>COUNTIF($O$7:O4427,FORMULARIO!$AA$2)</f>
        <v>1</v>
      </c>
      <c r="M4427" s="46"/>
      <c r="P4427" s="16"/>
    </row>
    <row r="4428" spans="5:16" hidden="1" x14ac:dyDescent="0.25">
      <c r="E4428" s="43">
        <f>COUNTIF($O$7:O4428,FORMULARIO!$AA$2)</f>
        <v>1</v>
      </c>
      <c r="M4428" s="46"/>
      <c r="P4428" s="16"/>
    </row>
    <row r="4429" spans="5:16" hidden="1" x14ac:dyDescent="0.25">
      <c r="E4429" s="43">
        <f>COUNTIF($O$7:O4429,FORMULARIO!$AA$2)</f>
        <v>1</v>
      </c>
      <c r="M4429" s="46"/>
      <c r="P4429" s="16"/>
    </row>
    <row r="4430" spans="5:16" hidden="1" x14ac:dyDescent="0.25">
      <c r="E4430" s="43">
        <f>COUNTIF($O$7:O4430,FORMULARIO!$AA$2)</f>
        <v>1</v>
      </c>
      <c r="M4430" s="46"/>
      <c r="P4430" s="16"/>
    </row>
    <row r="4431" spans="5:16" hidden="1" x14ac:dyDescent="0.25">
      <c r="E4431" s="43">
        <f>COUNTIF($O$7:O4431,FORMULARIO!$AA$2)</f>
        <v>1</v>
      </c>
      <c r="M4431" s="46"/>
      <c r="P4431" s="16"/>
    </row>
    <row r="4432" spans="5:16" hidden="1" x14ac:dyDescent="0.25">
      <c r="E4432" s="43">
        <f>COUNTIF($O$7:O4432,FORMULARIO!$AA$2)</f>
        <v>1</v>
      </c>
      <c r="M4432" s="46"/>
      <c r="P4432" s="16"/>
    </row>
    <row r="4433" spans="5:16" hidden="1" x14ac:dyDescent="0.25">
      <c r="E4433" s="43">
        <f>COUNTIF($O$7:O4433,FORMULARIO!$AA$2)</f>
        <v>1</v>
      </c>
      <c r="M4433" s="46"/>
      <c r="P4433" s="16"/>
    </row>
    <row r="4434" spans="5:16" hidden="1" x14ac:dyDescent="0.25">
      <c r="E4434" s="43">
        <f>COUNTIF($O$7:O4434,FORMULARIO!$AA$2)</f>
        <v>1</v>
      </c>
      <c r="M4434" s="46"/>
      <c r="P4434" s="16"/>
    </row>
    <row r="4435" spans="5:16" hidden="1" x14ac:dyDescent="0.25">
      <c r="E4435" s="43">
        <f>COUNTIF($O$7:O4435,FORMULARIO!$AA$2)</f>
        <v>1</v>
      </c>
      <c r="M4435" s="46"/>
      <c r="P4435" s="16"/>
    </row>
    <row r="4436" spans="5:16" hidden="1" x14ac:dyDescent="0.25">
      <c r="E4436" s="43">
        <f>COUNTIF($O$7:O4436,FORMULARIO!$AA$2)</f>
        <v>1</v>
      </c>
      <c r="M4436" s="46"/>
      <c r="P4436" s="16"/>
    </row>
    <row r="4437" spans="5:16" hidden="1" x14ac:dyDescent="0.25">
      <c r="E4437" s="43">
        <f>COUNTIF($O$7:O4437,FORMULARIO!$AA$2)</f>
        <v>1</v>
      </c>
      <c r="M4437" s="46"/>
      <c r="P4437" s="16"/>
    </row>
    <row r="4438" spans="5:16" hidden="1" x14ac:dyDescent="0.25">
      <c r="E4438" s="43">
        <f>COUNTIF($O$7:O4438,FORMULARIO!$AA$2)</f>
        <v>1</v>
      </c>
      <c r="M4438" s="46"/>
      <c r="P4438" s="16"/>
    </row>
    <row r="4439" spans="5:16" hidden="1" x14ac:dyDescent="0.25">
      <c r="E4439" s="43">
        <f>COUNTIF($O$7:O4439,FORMULARIO!$AA$2)</f>
        <v>1</v>
      </c>
      <c r="M4439" s="46"/>
      <c r="P4439" s="16"/>
    </row>
    <row r="4440" spans="5:16" hidden="1" x14ac:dyDescent="0.25">
      <c r="E4440" s="43">
        <f>COUNTIF($O$7:O4440,FORMULARIO!$AA$2)</f>
        <v>1</v>
      </c>
      <c r="M4440" s="46"/>
      <c r="P4440" s="16"/>
    </row>
    <row r="4441" spans="5:16" hidden="1" x14ac:dyDescent="0.25">
      <c r="E4441" s="43">
        <f>COUNTIF($O$7:O4441,FORMULARIO!$AA$2)</f>
        <v>1</v>
      </c>
      <c r="M4441" s="46"/>
      <c r="P4441" s="16"/>
    </row>
    <row r="4442" spans="5:16" hidden="1" x14ac:dyDescent="0.25">
      <c r="E4442" s="43">
        <f>COUNTIF($O$7:O4442,FORMULARIO!$AA$2)</f>
        <v>1</v>
      </c>
      <c r="M4442" s="46"/>
      <c r="P4442" s="16"/>
    </row>
    <row r="4443" spans="5:16" hidden="1" x14ac:dyDescent="0.25">
      <c r="E4443" s="43">
        <f>COUNTIF($O$7:O4443,FORMULARIO!$AA$2)</f>
        <v>1</v>
      </c>
      <c r="M4443" s="46"/>
      <c r="P4443" s="16"/>
    </row>
    <row r="4444" spans="5:16" hidden="1" x14ac:dyDescent="0.25">
      <c r="E4444" s="43">
        <f>COUNTIF($O$7:O4444,FORMULARIO!$AA$2)</f>
        <v>1</v>
      </c>
      <c r="M4444" s="46"/>
      <c r="P4444" s="16"/>
    </row>
    <row r="4445" spans="5:16" hidden="1" x14ac:dyDescent="0.25">
      <c r="E4445" s="43">
        <f>COUNTIF($O$7:O4445,FORMULARIO!$AA$2)</f>
        <v>1</v>
      </c>
      <c r="M4445" s="46"/>
      <c r="P4445" s="16"/>
    </row>
    <row r="4446" spans="5:16" hidden="1" x14ac:dyDescent="0.25">
      <c r="E4446" s="43">
        <f>COUNTIF($O$7:O4446,FORMULARIO!$AA$2)</f>
        <v>1</v>
      </c>
      <c r="M4446" s="46"/>
      <c r="P4446" s="16"/>
    </row>
    <row r="4447" spans="5:16" hidden="1" x14ac:dyDescent="0.25">
      <c r="E4447" s="43">
        <f>COUNTIF($O$7:O4447,FORMULARIO!$AA$2)</f>
        <v>1</v>
      </c>
      <c r="M4447" s="46"/>
      <c r="P4447" s="16"/>
    </row>
    <row r="4448" spans="5:16" hidden="1" x14ac:dyDescent="0.25">
      <c r="E4448" s="43">
        <f>COUNTIF($O$7:O4448,FORMULARIO!$AA$2)</f>
        <v>1</v>
      </c>
      <c r="M4448" s="46"/>
      <c r="P4448" s="16"/>
    </row>
    <row r="4449" spans="5:16" hidden="1" x14ac:dyDescent="0.25">
      <c r="E4449" s="43">
        <f>COUNTIF($O$7:O4449,FORMULARIO!$AA$2)</f>
        <v>1</v>
      </c>
      <c r="M4449" s="46"/>
      <c r="P4449" s="16"/>
    </row>
    <row r="4450" spans="5:16" hidden="1" x14ac:dyDescent="0.25">
      <c r="E4450" s="43">
        <f>COUNTIF($O$7:O4450,FORMULARIO!$AA$2)</f>
        <v>1</v>
      </c>
      <c r="M4450" s="46"/>
      <c r="P4450" s="16"/>
    </row>
    <row r="4451" spans="5:16" hidden="1" x14ac:dyDescent="0.25">
      <c r="E4451" s="43">
        <f>COUNTIF($O$7:O4451,FORMULARIO!$AA$2)</f>
        <v>1</v>
      </c>
      <c r="M4451" s="46"/>
      <c r="P4451" s="16"/>
    </row>
    <row r="4452" spans="5:16" hidden="1" x14ac:dyDescent="0.25">
      <c r="E4452" s="43">
        <f>COUNTIF($O$7:O4452,FORMULARIO!$AA$2)</f>
        <v>1</v>
      </c>
      <c r="M4452" s="46"/>
      <c r="P4452" s="16"/>
    </row>
    <row r="4453" spans="5:16" hidden="1" x14ac:dyDescent="0.25">
      <c r="E4453" s="43">
        <f>COUNTIF($O$7:O4453,FORMULARIO!$AA$2)</f>
        <v>1</v>
      </c>
      <c r="M4453" s="46"/>
      <c r="P4453" s="16"/>
    </row>
    <row r="4454" spans="5:16" hidden="1" x14ac:dyDescent="0.25">
      <c r="E4454" s="43">
        <f>COUNTIF($O$7:O4454,FORMULARIO!$AA$2)</f>
        <v>1</v>
      </c>
      <c r="M4454" s="46"/>
      <c r="P4454" s="16"/>
    </row>
    <row r="4455" spans="5:16" hidden="1" x14ac:dyDescent="0.25">
      <c r="E4455" s="43">
        <f>COUNTIF($O$7:O4455,FORMULARIO!$AA$2)</f>
        <v>1</v>
      </c>
      <c r="M4455" s="46"/>
      <c r="P4455" s="16"/>
    </row>
    <row r="4456" spans="5:16" hidden="1" x14ac:dyDescent="0.25">
      <c r="E4456" s="43">
        <f>COUNTIF($O$7:O4456,FORMULARIO!$AA$2)</f>
        <v>1</v>
      </c>
      <c r="M4456" s="46"/>
      <c r="P4456" s="16"/>
    </row>
    <row r="4457" spans="5:16" hidden="1" x14ac:dyDescent="0.25">
      <c r="E4457" s="43">
        <f>COUNTIF($O$7:O4457,FORMULARIO!$AA$2)</f>
        <v>1</v>
      </c>
      <c r="M4457" s="46"/>
      <c r="P4457" s="16"/>
    </row>
    <row r="4458" spans="5:16" hidden="1" x14ac:dyDescent="0.25">
      <c r="E4458" s="43">
        <f>COUNTIF($O$7:O4458,FORMULARIO!$AA$2)</f>
        <v>1</v>
      </c>
      <c r="M4458" s="46"/>
      <c r="P4458" s="16"/>
    </row>
    <row r="4459" spans="5:16" hidden="1" x14ac:dyDescent="0.25">
      <c r="E4459" s="43">
        <f>COUNTIF($O$7:O4459,FORMULARIO!$AA$2)</f>
        <v>1</v>
      </c>
      <c r="M4459" s="46"/>
      <c r="P4459" s="16"/>
    </row>
    <row r="4460" spans="5:16" hidden="1" x14ac:dyDescent="0.25">
      <c r="E4460" s="43">
        <f>COUNTIF($O$7:O4460,FORMULARIO!$AA$2)</f>
        <v>1</v>
      </c>
      <c r="M4460" s="46"/>
      <c r="P4460" s="16"/>
    </row>
    <row r="4461" spans="5:16" hidden="1" x14ac:dyDescent="0.25">
      <c r="E4461" s="43">
        <f>COUNTIF($O$7:O4461,FORMULARIO!$AA$2)</f>
        <v>1</v>
      </c>
      <c r="M4461" s="46"/>
      <c r="P4461" s="16"/>
    </row>
    <row r="4462" spans="5:16" hidden="1" x14ac:dyDescent="0.25">
      <c r="E4462" s="43">
        <f>COUNTIF($O$7:O4462,FORMULARIO!$AA$2)</f>
        <v>1</v>
      </c>
      <c r="M4462" s="46"/>
      <c r="P4462" s="16"/>
    </row>
    <row r="4463" spans="5:16" hidden="1" x14ac:dyDescent="0.25">
      <c r="E4463" s="43">
        <f>COUNTIF($O$7:O4463,FORMULARIO!$AA$2)</f>
        <v>1</v>
      </c>
      <c r="M4463" s="46"/>
      <c r="P4463" s="16"/>
    </row>
    <row r="4464" spans="5:16" hidden="1" x14ac:dyDescent="0.25">
      <c r="E4464" s="43">
        <f>COUNTIF($O$7:O4464,FORMULARIO!$AA$2)</f>
        <v>1</v>
      </c>
      <c r="M4464" s="46"/>
      <c r="P4464" s="16"/>
    </row>
    <row r="4465" spans="5:16" hidden="1" x14ac:dyDescent="0.25">
      <c r="E4465" s="43">
        <f>COUNTIF($O$7:O4465,FORMULARIO!$AA$2)</f>
        <v>1</v>
      </c>
      <c r="M4465" s="46"/>
      <c r="P4465" s="16"/>
    </row>
    <row r="4466" spans="5:16" hidden="1" x14ac:dyDescent="0.25">
      <c r="E4466" s="43">
        <f>COUNTIF($O$7:O4466,FORMULARIO!$AA$2)</f>
        <v>1</v>
      </c>
      <c r="M4466" s="46"/>
      <c r="P4466" s="16"/>
    </row>
    <row r="4467" spans="5:16" hidden="1" x14ac:dyDescent="0.25">
      <c r="E4467" s="43">
        <f>COUNTIF($O$7:O4467,FORMULARIO!$AA$2)</f>
        <v>1</v>
      </c>
      <c r="M4467" s="46"/>
      <c r="P4467" s="16"/>
    </row>
    <row r="4468" spans="5:16" hidden="1" x14ac:dyDescent="0.25">
      <c r="E4468" s="43">
        <f>COUNTIF($O$7:O4468,FORMULARIO!$AA$2)</f>
        <v>1</v>
      </c>
      <c r="M4468" s="46"/>
      <c r="P4468" s="16"/>
    </row>
    <row r="4469" spans="5:16" hidden="1" x14ac:dyDescent="0.25">
      <c r="E4469" s="43">
        <f>COUNTIF($O$7:O4469,FORMULARIO!$AA$2)</f>
        <v>1</v>
      </c>
      <c r="M4469" s="46"/>
      <c r="P4469" s="16"/>
    </row>
    <row r="4470" spans="5:16" hidden="1" x14ac:dyDescent="0.25">
      <c r="E4470" s="43">
        <f>COUNTIF($O$7:O4470,FORMULARIO!$AA$2)</f>
        <v>1</v>
      </c>
      <c r="M4470" s="46"/>
      <c r="P4470" s="16"/>
    </row>
    <row r="4471" spans="5:16" hidden="1" x14ac:dyDescent="0.25">
      <c r="E4471" s="43">
        <f>COUNTIF($O$7:O4471,FORMULARIO!$AA$2)</f>
        <v>1</v>
      </c>
      <c r="M4471" s="46"/>
      <c r="P4471" s="16"/>
    </row>
    <row r="4472" spans="5:16" hidden="1" x14ac:dyDescent="0.25">
      <c r="E4472" s="43">
        <f>COUNTIF($O$7:O4472,FORMULARIO!$AA$2)</f>
        <v>1</v>
      </c>
      <c r="M4472" s="46"/>
      <c r="P4472" s="16"/>
    </row>
    <row r="4473" spans="5:16" hidden="1" x14ac:dyDescent="0.25">
      <c r="E4473" s="43">
        <f>COUNTIF($O$7:O4473,FORMULARIO!$AA$2)</f>
        <v>1</v>
      </c>
      <c r="M4473" s="46"/>
      <c r="P4473" s="16"/>
    </row>
    <row r="4474" spans="5:16" hidden="1" x14ac:dyDescent="0.25">
      <c r="E4474" s="43">
        <f>COUNTIF($O$7:O4474,FORMULARIO!$AA$2)</f>
        <v>1</v>
      </c>
      <c r="M4474" s="46"/>
      <c r="P4474" s="16"/>
    </row>
    <row r="4475" spans="5:16" hidden="1" x14ac:dyDescent="0.25">
      <c r="E4475" s="43">
        <f>COUNTIF($O$7:O4475,FORMULARIO!$AA$2)</f>
        <v>1</v>
      </c>
      <c r="M4475" s="46"/>
      <c r="P4475" s="16"/>
    </row>
    <row r="4476" spans="5:16" hidden="1" x14ac:dyDescent="0.25">
      <c r="E4476" s="43">
        <f>COUNTIF($O$7:O4476,FORMULARIO!$AA$2)</f>
        <v>1</v>
      </c>
      <c r="M4476" s="46"/>
      <c r="P4476" s="16"/>
    </row>
    <row r="4477" spans="5:16" hidden="1" x14ac:dyDescent="0.25">
      <c r="E4477" s="43">
        <f>COUNTIF($O$7:O4477,FORMULARIO!$AA$2)</f>
        <v>1</v>
      </c>
      <c r="M4477" s="46"/>
      <c r="P4477" s="16"/>
    </row>
    <row r="4478" spans="5:16" hidden="1" x14ac:dyDescent="0.25">
      <c r="E4478" s="43">
        <f>COUNTIF($O$7:O4478,FORMULARIO!$AA$2)</f>
        <v>1</v>
      </c>
      <c r="M4478" s="46"/>
      <c r="P4478" s="16"/>
    </row>
    <row r="4479" spans="5:16" hidden="1" x14ac:dyDescent="0.25">
      <c r="E4479" s="43">
        <f>COUNTIF($O$7:O4479,FORMULARIO!$AA$2)</f>
        <v>1</v>
      </c>
      <c r="M4479" s="46"/>
      <c r="P4479" s="16"/>
    </row>
    <row r="4480" spans="5:16" hidden="1" x14ac:dyDescent="0.25">
      <c r="E4480" s="43">
        <f>COUNTIF($O$7:O4480,FORMULARIO!$AA$2)</f>
        <v>1</v>
      </c>
      <c r="M4480" s="46"/>
      <c r="P4480" s="16"/>
    </row>
    <row r="4481" spans="5:16" hidden="1" x14ac:dyDescent="0.25">
      <c r="E4481" s="43">
        <f>COUNTIF($O$7:O4481,FORMULARIO!$AA$2)</f>
        <v>1</v>
      </c>
      <c r="M4481" s="46"/>
      <c r="P4481" s="16"/>
    </row>
    <row r="4482" spans="5:16" hidden="1" x14ac:dyDescent="0.25">
      <c r="E4482" s="43">
        <f>COUNTIF($O$7:O4482,FORMULARIO!$AA$2)</f>
        <v>1</v>
      </c>
      <c r="M4482" s="46"/>
      <c r="P4482" s="16"/>
    </row>
    <row r="4483" spans="5:16" hidden="1" x14ac:dyDescent="0.25">
      <c r="E4483" s="43">
        <f>COUNTIF($O$7:O4483,FORMULARIO!$AA$2)</f>
        <v>1</v>
      </c>
      <c r="M4483" s="46"/>
      <c r="P4483" s="16"/>
    </row>
    <row r="4484" spans="5:16" hidden="1" x14ac:dyDescent="0.25">
      <c r="E4484" s="43">
        <f>COUNTIF($O$7:O4484,FORMULARIO!$AA$2)</f>
        <v>1</v>
      </c>
      <c r="M4484" s="46"/>
      <c r="P4484" s="16"/>
    </row>
    <row r="4485" spans="5:16" hidden="1" x14ac:dyDescent="0.25">
      <c r="E4485" s="43">
        <f>COUNTIF($O$7:O4485,FORMULARIO!$AA$2)</f>
        <v>1</v>
      </c>
      <c r="M4485" s="46"/>
      <c r="P4485" s="16"/>
    </row>
    <row r="4486" spans="5:16" hidden="1" x14ac:dyDescent="0.25">
      <c r="E4486" s="43">
        <f>COUNTIF($O$7:O4486,FORMULARIO!$AA$2)</f>
        <v>1</v>
      </c>
      <c r="M4486" s="46"/>
      <c r="P4486" s="16"/>
    </row>
    <row r="4487" spans="5:16" hidden="1" x14ac:dyDescent="0.25">
      <c r="E4487" s="43">
        <f>COUNTIF($O$7:O4487,FORMULARIO!$AA$2)</f>
        <v>1</v>
      </c>
      <c r="M4487" s="46"/>
      <c r="P4487" s="16"/>
    </row>
    <row r="4488" spans="5:16" hidden="1" x14ac:dyDescent="0.25">
      <c r="E4488" s="43">
        <f>COUNTIF($O$7:O4488,FORMULARIO!$AA$2)</f>
        <v>1</v>
      </c>
      <c r="M4488" s="46"/>
      <c r="P4488" s="16"/>
    </row>
    <row r="4489" spans="5:16" hidden="1" x14ac:dyDescent="0.25">
      <c r="E4489" s="43">
        <f>COUNTIF($O$7:O4489,FORMULARIO!$AA$2)</f>
        <v>1</v>
      </c>
      <c r="M4489" s="46"/>
      <c r="P4489" s="16"/>
    </row>
    <row r="4490" spans="5:16" hidden="1" x14ac:dyDescent="0.25">
      <c r="E4490" s="43">
        <f>COUNTIF($O$7:O4490,FORMULARIO!$AA$2)</f>
        <v>1</v>
      </c>
      <c r="M4490" s="46"/>
      <c r="P4490" s="16"/>
    </row>
    <row r="4491" spans="5:16" hidden="1" x14ac:dyDescent="0.25">
      <c r="E4491" s="43">
        <f>COUNTIF($O$7:O4491,FORMULARIO!$AA$2)</f>
        <v>1</v>
      </c>
      <c r="M4491" s="46"/>
      <c r="P4491" s="16"/>
    </row>
    <row r="4492" spans="5:16" hidden="1" x14ac:dyDescent="0.25">
      <c r="E4492" s="43">
        <f>COUNTIF($O$7:O4492,FORMULARIO!$AA$2)</f>
        <v>1</v>
      </c>
      <c r="M4492" s="46"/>
      <c r="P4492" s="16"/>
    </row>
    <row r="4493" spans="5:16" hidden="1" x14ac:dyDescent="0.25">
      <c r="E4493" s="43">
        <f>COUNTIF($O$7:O4493,FORMULARIO!$AA$2)</f>
        <v>1</v>
      </c>
      <c r="M4493" s="46"/>
      <c r="P4493" s="16"/>
    </row>
    <row r="4494" spans="5:16" hidden="1" x14ac:dyDescent="0.25">
      <c r="E4494" s="43">
        <f>COUNTIF($O$7:O4494,FORMULARIO!$AA$2)</f>
        <v>1</v>
      </c>
      <c r="M4494" s="46"/>
      <c r="P4494" s="16"/>
    </row>
    <row r="4495" spans="5:16" hidden="1" x14ac:dyDescent="0.25">
      <c r="E4495" s="43">
        <f>COUNTIF($O$7:O4495,FORMULARIO!$AA$2)</f>
        <v>1</v>
      </c>
      <c r="M4495" s="46"/>
      <c r="P4495" s="16"/>
    </row>
    <row r="4496" spans="5:16" hidden="1" x14ac:dyDescent="0.25">
      <c r="E4496" s="43">
        <f>COUNTIF($O$7:O4496,FORMULARIO!$AA$2)</f>
        <v>1</v>
      </c>
      <c r="M4496" s="46"/>
      <c r="P4496" s="16"/>
    </row>
    <row r="4497" spans="5:16" hidden="1" x14ac:dyDescent="0.25">
      <c r="E4497" s="43">
        <f>COUNTIF($O$7:O4497,FORMULARIO!$AA$2)</f>
        <v>1</v>
      </c>
      <c r="M4497" s="46"/>
      <c r="P4497" s="16"/>
    </row>
    <row r="4498" spans="5:16" hidden="1" x14ac:dyDescent="0.25">
      <c r="E4498" s="43">
        <f>COUNTIF($O$7:O4498,FORMULARIO!$AA$2)</f>
        <v>1</v>
      </c>
      <c r="M4498" s="46"/>
      <c r="P4498" s="16"/>
    </row>
    <row r="4499" spans="5:16" hidden="1" x14ac:dyDescent="0.25">
      <c r="E4499" s="43">
        <f>COUNTIF($O$7:O4499,FORMULARIO!$AA$2)</f>
        <v>1</v>
      </c>
      <c r="M4499" s="46"/>
      <c r="P4499" s="16"/>
    </row>
    <row r="4500" spans="5:16" hidden="1" x14ac:dyDescent="0.25">
      <c r="E4500" s="43">
        <f>COUNTIF($O$7:O4500,FORMULARIO!$AA$2)</f>
        <v>1</v>
      </c>
      <c r="M4500" s="46"/>
      <c r="P4500" s="16"/>
    </row>
    <row r="4501" spans="5:16" hidden="1" x14ac:dyDescent="0.25">
      <c r="E4501" s="43">
        <f>COUNTIF($O$7:O4501,FORMULARIO!$AA$2)</f>
        <v>1</v>
      </c>
      <c r="M4501" s="46"/>
      <c r="P4501" s="16"/>
    </row>
    <row r="4502" spans="5:16" hidden="1" x14ac:dyDescent="0.25">
      <c r="E4502" s="43">
        <f>COUNTIF($O$7:O4502,FORMULARIO!$AA$2)</f>
        <v>1</v>
      </c>
      <c r="M4502" s="46"/>
      <c r="P4502" s="16"/>
    </row>
    <row r="4503" spans="5:16" hidden="1" x14ac:dyDescent="0.25">
      <c r="E4503" s="43">
        <f>COUNTIF($O$7:O4503,FORMULARIO!$AA$2)</f>
        <v>1</v>
      </c>
      <c r="M4503" s="46"/>
      <c r="P4503" s="16"/>
    </row>
    <row r="4504" spans="5:16" hidden="1" x14ac:dyDescent="0.25">
      <c r="E4504" s="43">
        <f>COUNTIF($O$7:O4504,FORMULARIO!$AA$2)</f>
        <v>1</v>
      </c>
      <c r="M4504" s="46"/>
      <c r="P4504" s="16"/>
    </row>
    <row r="4505" spans="5:16" hidden="1" x14ac:dyDescent="0.25">
      <c r="E4505" s="43">
        <f>COUNTIF($O$7:O4505,FORMULARIO!$AA$2)</f>
        <v>1</v>
      </c>
      <c r="M4505" s="46"/>
      <c r="P4505" s="16"/>
    </row>
    <row r="4506" spans="5:16" hidden="1" x14ac:dyDescent="0.25">
      <c r="E4506" s="43">
        <f>COUNTIF($O$7:O4506,FORMULARIO!$AA$2)</f>
        <v>1</v>
      </c>
      <c r="M4506" s="46"/>
      <c r="P4506" s="16"/>
    </row>
    <row r="4507" spans="5:16" hidden="1" x14ac:dyDescent="0.25">
      <c r="E4507" s="43">
        <f>COUNTIF($O$7:O4507,FORMULARIO!$AA$2)</f>
        <v>1</v>
      </c>
      <c r="M4507" s="46"/>
      <c r="P4507" s="16"/>
    </row>
    <row r="4508" spans="5:16" hidden="1" x14ac:dyDescent="0.25">
      <c r="E4508" s="43">
        <f>COUNTIF($O$7:O4508,FORMULARIO!$AA$2)</f>
        <v>1</v>
      </c>
      <c r="M4508" s="46"/>
      <c r="P4508" s="16"/>
    </row>
    <row r="4509" spans="5:16" hidden="1" x14ac:dyDescent="0.25">
      <c r="E4509" s="43">
        <f>COUNTIF($O$7:O4509,FORMULARIO!$AA$2)</f>
        <v>1</v>
      </c>
      <c r="M4509" s="46"/>
      <c r="P4509" s="16"/>
    </row>
    <row r="4510" spans="5:16" hidden="1" x14ac:dyDescent="0.25">
      <c r="E4510" s="43">
        <f>COUNTIF($O$7:O4510,FORMULARIO!$AA$2)</f>
        <v>1</v>
      </c>
      <c r="M4510" s="46"/>
      <c r="P4510" s="16"/>
    </row>
    <row r="4511" spans="5:16" hidden="1" x14ac:dyDescent="0.25">
      <c r="E4511" s="43">
        <f>COUNTIF($O$7:O4511,FORMULARIO!$AA$2)</f>
        <v>1</v>
      </c>
      <c r="M4511" s="46"/>
      <c r="P4511" s="16"/>
    </row>
    <row r="4512" spans="5:16" hidden="1" x14ac:dyDescent="0.25">
      <c r="E4512" s="43">
        <f>COUNTIF($O$7:O4512,FORMULARIO!$AA$2)</f>
        <v>1</v>
      </c>
      <c r="M4512" s="46"/>
      <c r="P4512" s="16"/>
    </row>
    <row r="4513" spans="5:16" hidden="1" x14ac:dyDescent="0.25">
      <c r="E4513" s="43">
        <f>COUNTIF($O$7:O4513,FORMULARIO!$AA$2)</f>
        <v>1</v>
      </c>
      <c r="M4513" s="46"/>
      <c r="P4513" s="16"/>
    </row>
    <row r="4514" spans="5:16" hidden="1" x14ac:dyDescent="0.25">
      <c r="E4514" s="43">
        <f>COUNTIF($O$7:O4514,FORMULARIO!$AA$2)</f>
        <v>1</v>
      </c>
      <c r="M4514" s="46"/>
      <c r="P4514" s="16"/>
    </row>
    <row r="4515" spans="5:16" hidden="1" x14ac:dyDescent="0.25">
      <c r="E4515" s="43">
        <f>COUNTIF($O$7:O4515,FORMULARIO!$AA$2)</f>
        <v>1</v>
      </c>
      <c r="M4515" s="46"/>
      <c r="P4515" s="16"/>
    </row>
    <row r="4516" spans="5:16" hidden="1" x14ac:dyDescent="0.25">
      <c r="E4516" s="43">
        <f>COUNTIF($O$7:O4516,FORMULARIO!$AA$2)</f>
        <v>1</v>
      </c>
      <c r="M4516" s="46"/>
      <c r="P4516" s="16"/>
    </row>
    <row r="4517" spans="5:16" hidden="1" x14ac:dyDescent="0.25">
      <c r="E4517" s="43">
        <f>COUNTIF($O$7:O4517,FORMULARIO!$AA$2)</f>
        <v>1</v>
      </c>
      <c r="M4517" s="46"/>
      <c r="P4517" s="16"/>
    </row>
    <row r="4518" spans="5:16" hidden="1" x14ac:dyDescent="0.25">
      <c r="E4518" s="43">
        <f>COUNTIF($O$7:O4518,FORMULARIO!$AA$2)</f>
        <v>1</v>
      </c>
      <c r="M4518" s="46"/>
      <c r="P4518" s="16"/>
    </row>
    <row r="4519" spans="5:16" hidden="1" x14ac:dyDescent="0.25">
      <c r="E4519" s="43">
        <f>COUNTIF($O$7:O4519,FORMULARIO!$AA$2)</f>
        <v>1</v>
      </c>
      <c r="M4519" s="46"/>
      <c r="P4519" s="16"/>
    </row>
    <row r="4520" spans="5:16" hidden="1" x14ac:dyDescent="0.25">
      <c r="E4520" s="43">
        <f>COUNTIF($O$7:O4520,FORMULARIO!$AA$2)</f>
        <v>1</v>
      </c>
      <c r="M4520" s="46"/>
      <c r="P4520" s="16"/>
    </row>
    <row r="4521" spans="5:16" hidden="1" x14ac:dyDescent="0.25">
      <c r="E4521" s="43">
        <f>COUNTIF($O$7:O4521,FORMULARIO!$AA$2)</f>
        <v>1</v>
      </c>
      <c r="M4521" s="46"/>
      <c r="P4521" s="16"/>
    </row>
    <row r="4522" spans="5:16" hidden="1" x14ac:dyDescent="0.25">
      <c r="E4522" s="43">
        <f>COUNTIF($O$7:O4522,FORMULARIO!$AA$2)</f>
        <v>1</v>
      </c>
      <c r="M4522" s="46"/>
      <c r="P4522" s="16"/>
    </row>
    <row r="4523" spans="5:16" hidden="1" x14ac:dyDescent="0.25">
      <c r="E4523" s="43">
        <f>COUNTIF($O$7:O4523,FORMULARIO!$AA$2)</f>
        <v>1</v>
      </c>
      <c r="M4523" s="46"/>
      <c r="P4523" s="16"/>
    </row>
    <row r="4524" spans="5:16" hidden="1" x14ac:dyDescent="0.25">
      <c r="E4524" s="43">
        <f>COUNTIF($O$7:O4524,FORMULARIO!$AA$2)</f>
        <v>1</v>
      </c>
      <c r="M4524" s="46"/>
      <c r="P4524" s="16"/>
    </row>
    <row r="4525" spans="5:16" hidden="1" x14ac:dyDescent="0.25">
      <c r="E4525" s="43">
        <f>COUNTIF($O$7:O4525,FORMULARIO!$AA$2)</f>
        <v>1</v>
      </c>
      <c r="M4525" s="46"/>
      <c r="P4525" s="16"/>
    </row>
    <row r="4526" spans="5:16" hidden="1" x14ac:dyDescent="0.25">
      <c r="E4526" s="43">
        <f>COUNTIF($O$7:O4526,FORMULARIO!$AA$2)</f>
        <v>1</v>
      </c>
      <c r="M4526" s="46"/>
      <c r="P4526" s="16"/>
    </row>
    <row r="4527" spans="5:16" hidden="1" x14ac:dyDescent="0.25">
      <c r="E4527" s="43">
        <f>COUNTIF($O$7:O4527,FORMULARIO!$AA$2)</f>
        <v>1</v>
      </c>
      <c r="M4527" s="46"/>
      <c r="P4527" s="16"/>
    </row>
    <row r="4528" spans="5:16" hidden="1" x14ac:dyDescent="0.25">
      <c r="E4528" s="43">
        <f>COUNTIF($O$7:O4528,FORMULARIO!$AA$2)</f>
        <v>1</v>
      </c>
      <c r="M4528" s="46"/>
      <c r="P4528" s="16"/>
    </row>
    <row r="4529" spans="5:16" hidden="1" x14ac:dyDescent="0.25">
      <c r="E4529" s="43">
        <f>COUNTIF($O$7:O4529,FORMULARIO!$AA$2)</f>
        <v>1</v>
      </c>
      <c r="M4529" s="46"/>
      <c r="P4529" s="16"/>
    </row>
    <row r="4530" spans="5:16" hidden="1" x14ac:dyDescent="0.25">
      <c r="E4530" s="43">
        <f>COUNTIF($O$7:O4530,FORMULARIO!$AA$2)</f>
        <v>1</v>
      </c>
      <c r="M4530" s="46"/>
      <c r="P4530" s="16"/>
    </row>
    <row r="4531" spans="5:16" hidden="1" x14ac:dyDescent="0.25">
      <c r="E4531" s="43">
        <f>COUNTIF($O$7:O4531,FORMULARIO!$AA$2)</f>
        <v>1</v>
      </c>
      <c r="M4531" s="46"/>
      <c r="P4531" s="16"/>
    </row>
    <row r="4532" spans="5:16" hidden="1" x14ac:dyDescent="0.25">
      <c r="E4532" s="43">
        <f>COUNTIF($O$7:O4532,FORMULARIO!$AA$2)</f>
        <v>1</v>
      </c>
      <c r="M4532" s="46"/>
      <c r="P4532" s="16"/>
    </row>
    <row r="4533" spans="5:16" hidden="1" x14ac:dyDescent="0.25">
      <c r="E4533" s="43">
        <f>COUNTIF($O$7:O4533,FORMULARIO!$AA$2)</f>
        <v>1</v>
      </c>
      <c r="M4533" s="46"/>
      <c r="P4533" s="16"/>
    </row>
    <row r="4534" spans="5:16" hidden="1" x14ac:dyDescent="0.25">
      <c r="E4534" s="43">
        <f>COUNTIF($O$7:O4534,FORMULARIO!$AA$2)</f>
        <v>1</v>
      </c>
      <c r="M4534" s="46"/>
      <c r="P4534" s="16"/>
    </row>
    <row r="4535" spans="5:16" hidden="1" x14ac:dyDescent="0.25">
      <c r="E4535" s="43">
        <f>COUNTIF($O$7:O4535,FORMULARIO!$AA$2)</f>
        <v>1</v>
      </c>
      <c r="M4535" s="46"/>
      <c r="P4535" s="16"/>
    </row>
    <row r="4536" spans="5:16" hidden="1" x14ac:dyDescent="0.25">
      <c r="E4536" s="43">
        <f>COUNTIF($O$7:O4536,FORMULARIO!$AA$2)</f>
        <v>1</v>
      </c>
      <c r="M4536" s="46"/>
      <c r="P4536" s="16"/>
    </row>
    <row r="4537" spans="5:16" hidden="1" x14ac:dyDescent="0.25">
      <c r="E4537" s="43">
        <f>COUNTIF($O$7:O4537,FORMULARIO!$AA$2)</f>
        <v>1</v>
      </c>
      <c r="M4537" s="46"/>
      <c r="P4537" s="16"/>
    </row>
    <row r="4538" spans="5:16" hidden="1" x14ac:dyDescent="0.25">
      <c r="E4538" s="43">
        <f>COUNTIF($O$7:O4538,FORMULARIO!$AA$2)</f>
        <v>1</v>
      </c>
      <c r="M4538" s="46"/>
      <c r="P4538" s="16"/>
    </row>
    <row r="4539" spans="5:16" hidden="1" x14ac:dyDescent="0.25">
      <c r="E4539" s="43">
        <f>COUNTIF($O$7:O4539,FORMULARIO!$AA$2)</f>
        <v>1</v>
      </c>
      <c r="M4539" s="46"/>
      <c r="P4539" s="16"/>
    </row>
    <row r="4540" spans="5:16" hidden="1" x14ac:dyDescent="0.25">
      <c r="E4540" s="43">
        <f>COUNTIF($O$7:O4540,FORMULARIO!$AA$2)</f>
        <v>1</v>
      </c>
      <c r="M4540" s="46"/>
      <c r="P4540" s="16"/>
    </row>
    <row r="4541" spans="5:16" hidden="1" x14ac:dyDescent="0.25">
      <c r="E4541" s="43">
        <f>COUNTIF($O$7:O4541,FORMULARIO!$AA$2)</f>
        <v>1</v>
      </c>
      <c r="M4541" s="46"/>
      <c r="P4541" s="16"/>
    </row>
    <row r="4542" spans="5:16" hidden="1" x14ac:dyDescent="0.25">
      <c r="E4542" s="43">
        <f>COUNTIF($O$7:O4542,FORMULARIO!$AA$2)</f>
        <v>1</v>
      </c>
      <c r="M4542" s="46"/>
      <c r="P4542" s="16"/>
    </row>
    <row r="4543" spans="5:16" hidden="1" x14ac:dyDescent="0.25">
      <c r="E4543" s="43">
        <f>COUNTIF($O$7:O4543,FORMULARIO!$AA$2)</f>
        <v>1</v>
      </c>
      <c r="M4543" s="46"/>
      <c r="P4543" s="16"/>
    </row>
    <row r="4544" spans="5:16" hidden="1" x14ac:dyDescent="0.25">
      <c r="E4544" s="43">
        <f>COUNTIF($O$7:O4544,FORMULARIO!$AA$2)</f>
        <v>1</v>
      </c>
      <c r="M4544" s="46"/>
      <c r="P4544" s="16"/>
    </row>
    <row r="4545" spans="5:16" hidden="1" x14ac:dyDescent="0.25">
      <c r="E4545" s="43">
        <f>COUNTIF($O$7:O4545,FORMULARIO!$AA$2)</f>
        <v>1</v>
      </c>
      <c r="M4545" s="46"/>
      <c r="P4545" s="16"/>
    </row>
    <row r="4546" spans="5:16" hidden="1" x14ac:dyDescent="0.25">
      <c r="E4546" s="43">
        <f>COUNTIF($O$7:O4546,FORMULARIO!$AA$2)</f>
        <v>1</v>
      </c>
      <c r="M4546" s="46"/>
      <c r="P4546" s="16"/>
    </row>
    <row r="4547" spans="5:16" hidden="1" x14ac:dyDescent="0.25">
      <c r="E4547" s="43">
        <f>COUNTIF($O$7:O4547,FORMULARIO!$AA$2)</f>
        <v>1</v>
      </c>
      <c r="M4547" s="46"/>
      <c r="P4547" s="16"/>
    </row>
    <row r="4548" spans="5:16" hidden="1" x14ac:dyDescent="0.25">
      <c r="E4548" s="43">
        <f>COUNTIF($O$7:O4548,FORMULARIO!$AA$2)</f>
        <v>1</v>
      </c>
      <c r="M4548" s="46"/>
      <c r="P4548" s="16"/>
    </row>
    <row r="4549" spans="5:16" hidden="1" x14ac:dyDescent="0.25">
      <c r="E4549" s="43">
        <f>COUNTIF($O$7:O4549,FORMULARIO!$AA$2)</f>
        <v>1</v>
      </c>
      <c r="M4549" s="46"/>
      <c r="P4549" s="16"/>
    </row>
    <row r="4550" spans="5:16" hidden="1" x14ac:dyDescent="0.25">
      <c r="E4550" s="43">
        <f>COUNTIF($O$7:O4550,FORMULARIO!$AA$2)</f>
        <v>1</v>
      </c>
      <c r="M4550" s="46"/>
      <c r="P4550" s="16"/>
    </row>
    <row r="4551" spans="5:16" hidden="1" x14ac:dyDescent="0.25">
      <c r="E4551" s="43">
        <f>COUNTIF($O$7:O4551,FORMULARIO!$AA$2)</f>
        <v>1</v>
      </c>
      <c r="M4551" s="46"/>
      <c r="P4551" s="16"/>
    </row>
    <row r="4552" spans="5:16" hidden="1" x14ac:dyDescent="0.25">
      <c r="E4552" s="43">
        <f>COUNTIF($O$7:O4552,FORMULARIO!$AA$2)</f>
        <v>1</v>
      </c>
      <c r="M4552" s="46"/>
      <c r="P4552" s="16"/>
    </row>
    <row r="4553" spans="5:16" hidden="1" x14ac:dyDescent="0.25">
      <c r="E4553" s="43">
        <f>COUNTIF($O$7:O4553,FORMULARIO!$AA$2)</f>
        <v>1</v>
      </c>
      <c r="M4553" s="46"/>
      <c r="P4553" s="16"/>
    </row>
    <row r="4554" spans="5:16" hidden="1" x14ac:dyDescent="0.25">
      <c r="E4554" s="43">
        <f>COUNTIF($O$7:O4554,FORMULARIO!$AA$2)</f>
        <v>1</v>
      </c>
      <c r="M4554" s="46"/>
      <c r="P4554" s="16"/>
    </row>
    <row r="4555" spans="5:16" hidden="1" x14ac:dyDescent="0.25">
      <c r="E4555" s="43">
        <f>COUNTIF($O$7:O4555,FORMULARIO!$AA$2)</f>
        <v>1</v>
      </c>
      <c r="M4555" s="46"/>
      <c r="P4555" s="16"/>
    </row>
    <row r="4556" spans="5:16" hidden="1" x14ac:dyDescent="0.25">
      <c r="E4556" s="43">
        <f>COUNTIF($O$7:O4556,FORMULARIO!$AA$2)</f>
        <v>1</v>
      </c>
      <c r="M4556" s="46"/>
      <c r="P4556" s="16"/>
    </row>
    <row r="4557" spans="5:16" hidden="1" x14ac:dyDescent="0.25">
      <c r="E4557" s="43">
        <f>COUNTIF($O$7:O4557,FORMULARIO!$AA$2)</f>
        <v>1</v>
      </c>
      <c r="M4557" s="46"/>
      <c r="P4557" s="16"/>
    </row>
    <row r="4558" spans="5:16" hidden="1" x14ac:dyDescent="0.25">
      <c r="E4558" s="43">
        <f>COUNTIF($O$7:O4558,FORMULARIO!$AA$2)</f>
        <v>1</v>
      </c>
      <c r="M4558" s="46"/>
      <c r="P4558" s="16"/>
    </row>
    <row r="4559" spans="5:16" hidden="1" x14ac:dyDescent="0.25">
      <c r="E4559" s="43">
        <f>COUNTIF($O$7:O4559,FORMULARIO!$AA$2)</f>
        <v>1</v>
      </c>
      <c r="M4559" s="46"/>
      <c r="P4559" s="16"/>
    </row>
    <row r="4560" spans="5:16" hidden="1" x14ac:dyDescent="0.25">
      <c r="E4560" s="43">
        <f>COUNTIF($O$7:O4560,FORMULARIO!$AA$2)</f>
        <v>1</v>
      </c>
      <c r="M4560" s="46"/>
      <c r="P4560" s="16"/>
    </row>
    <row r="4561" spans="5:16" hidden="1" x14ac:dyDescent="0.25">
      <c r="E4561" s="43">
        <f>COUNTIF($O$7:O4561,FORMULARIO!$AA$2)</f>
        <v>1</v>
      </c>
      <c r="M4561" s="46"/>
      <c r="P4561" s="16"/>
    </row>
    <row r="4562" spans="5:16" hidden="1" x14ac:dyDescent="0.25">
      <c r="E4562" s="43">
        <f>COUNTIF($O$7:O4562,FORMULARIO!$AA$2)</f>
        <v>1</v>
      </c>
      <c r="M4562" s="46"/>
      <c r="P4562" s="16"/>
    </row>
    <row r="4563" spans="5:16" hidden="1" x14ac:dyDescent="0.25">
      <c r="E4563" s="43">
        <f>COUNTIF($O$7:O4563,FORMULARIO!$AA$2)</f>
        <v>1</v>
      </c>
      <c r="M4563" s="46"/>
      <c r="P4563" s="16"/>
    </row>
    <row r="4564" spans="5:16" hidden="1" x14ac:dyDescent="0.25">
      <c r="E4564" s="43">
        <f>COUNTIF($O$7:O4564,FORMULARIO!$AA$2)</f>
        <v>1</v>
      </c>
      <c r="M4564" s="46"/>
      <c r="P4564" s="16"/>
    </row>
    <row r="4565" spans="5:16" hidden="1" x14ac:dyDescent="0.25">
      <c r="E4565" s="43">
        <f>COUNTIF($O$7:O4565,FORMULARIO!$AA$2)</f>
        <v>1</v>
      </c>
      <c r="M4565" s="46"/>
      <c r="P4565" s="16"/>
    </row>
    <row r="4566" spans="5:16" hidden="1" x14ac:dyDescent="0.25">
      <c r="E4566" s="43">
        <f>COUNTIF($O$7:O4566,FORMULARIO!$AA$2)</f>
        <v>1</v>
      </c>
      <c r="M4566" s="46"/>
      <c r="P4566" s="16"/>
    </row>
    <row r="4567" spans="5:16" hidden="1" x14ac:dyDescent="0.25">
      <c r="E4567" s="43">
        <f>COUNTIF($O$7:O4567,FORMULARIO!$AA$2)</f>
        <v>1</v>
      </c>
      <c r="M4567" s="46"/>
      <c r="P4567" s="16"/>
    </row>
    <row r="4568" spans="5:16" hidden="1" x14ac:dyDescent="0.25">
      <c r="E4568" s="43">
        <f>COUNTIF($O$7:O4568,FORMULARIO!$AA$2)</f>
        <v>1</v>
      </c>
      <c r="M4568" s="46"/>
      <c r="P4568" s="16"/>
    </row>
    <row r="4569" spans="5:16" hidden="1" x14ac:dyDescent="0.25">
      <c r="E4569" s="43">
        <f>COUNTIF($O$7:O4569,FORMULARIO!$AA$2)</f>
        <v>1</v>
      </c>
      <c r="M4569" s="46"/>
      <c r="P4569" s="16"/>
    </row>
    <row r="4570" spans="5:16" hidden="1" x14ac:dyDescent="0.25">
      <c r="E4570" s="43">
        <f>COUNTIF($O$7:O4570,FORMULARIO!$AA$2)</f>
        <v>1</v>
      </c>
      <c r="M4570" s="46"/>
      <c r="P4570" s="16"/>
    </row>
    <row r="4571" spans="5:16" hidden="1" x14ac:dyDescent="0.25">
      <c r="E4571" s="43">
        <f>COUNTIF($O$7:O4571,FORMULARIO!$AA$2)</f>
        <v>1</v>
      </c>
      <c r="M4571" s="46"/>
      <c r="P4571" s="16"/>
    </row>
    <row r="4572" spans="5:16" hidden="1" x14ac:dyDescent="0.25">
      <c r="E4572" s="43">
        <f>COUNTIF($O$7:O4572,FORMULARIO!$AA$2)</f>
        <v>1</v>
      </c>
      <c r="M4572" s="46"/>
      <c r="P4572" s="16"/>
    </row>
    <row r="4573" spans="5:16" hidden="1" x14ac:dyDescent="0.25">
      <c r="E4573" s="43">
        <f>COUNTIF($O$7:O4573,FORMULARIO!$AA$2)</f>
        <v>1</v>
      </c>
      <c r="M4573" s="46"/>
      <c r="P4573" s="16"/>
    </row>
    <row r="4574" spans="5:16" hidden="1" x14ac:dyDescent="0.25">
      <c r="E4574" s="43">
        <f>COUNTIF($O$7:O4574,FORMULARIO!$AA$2)</f>
        <v>1</v>
      </c>
      <c r="M4574" s="46"/>
      <c r="P4574" s="16"/>
    </row>
    <row r="4575" spans="5:16" hidden="1" x14ac:dyDescent="0.25">
      <c r="E4575" s="43">
        <f>COUNTIF($O$7:O4575,FORMULARIO!$AA$2)</f>
        <v>1</v>
      </c>
      <c r="M4575" s="46"/>
      <c r="P4575" s="16"/>
    </row>
    <row r="4576" spans="5:16" hidden="1" x14ac:dyDescent="0.25">
      <c r="E4576" s="43">
        <f>COUNTIF($O$7:O4576,FORMULARIO!$AA$2)</f>
        <v>1</v>
      </c>
      <c r="M4576" s="46"/>
      <c r="P4576" s="16"/>
    </row>
    <row r="4577" spans="5:16" hidden="1" x14ac:dyDescent="0.25">
      <c r="E4577" s="43">
        <f>COUNTIF($O$7:O4577,FORMULARIO!$AA$2)</f>
        <v>1</v>
      </c>
      <c r="M4577" s="46"/>
      <c r="P4577" s="16"/>
    </row>
    <row r="4578" spans="5:16" hidden="1" x14ac:dyDescent="0.25">
      <c r="E4578" s="43">
        <f>COUNTIF($O$7:O4578,FORMULARIO!$AA$2)</f>
        <v>1</v>
      </c>
      <c r="M4578" s="46"/>
      <c r="P4578" s="16"/>
    </row>
    <row r="4579" spans="5:16" hidden="1" x14ac:dyDescent="0.25">
      <c r="E4579" s="43">
        <f>COUNTIF($O$7:O4579,FORMULARIO!$AA$2)</f>
        <v>1</v>
      </c>
      <c r="M4579" s="46"/>
      <c r="P4579" s="16"/>
    </row>
    <row r="4580" spans="5:16" hidden="1" x14ac:dyDescent="0.25">
      <c r="E4580" s="43">
        <f>COUNTIF($O$7:O4580,FORMULARIO!$AA$2)</f>
        <v>1</v>
      </c>
      <c r="M4580" s="46"/>
      <c r="P4580" s="16"/>
    </row>
    <row r="4581" spans="5:16" hidden="1" x14ac:dyDescent="0.25">
      <c r="E4581" s="43">
        <f>COUNTIF($O$7:O4581,FORMULARIO!$AA$2)</f>
        <v>1</v>
      </c>
      <c r="M4581" s="46"/>
      <c r="P4581" s="16"/>
    </row>
    <row r="4582" spans="5:16" hidden="1" x14ac:dyDescent="0.25">
      <c r="E4582" s="43">
        <f>COUNTIF($O$7:O4582,FORMULARIO!$AA$2)</f>
        <v>1</v>
      </c>
      <c r="M4582" s="46"/>
      <c r="P4582" s="16"/>
    </row>
    <row r="4583" spans="5:16" hidden="1" x14ac:dyDescent="0.25">
      <c r="E4583" s="43">
        <f>COUNTIF($O$7:O4583,FORMULARIO!$AA$2)</f>
        <v>1</v>
      </c>
      <c r="M4583" s="46"/>
      <c r="P4583" s="16"/>
    </row>
    <row r="4584" spans="5:16" hidden="1" x14ac:dyDescent="0.25">
      <c r="E4584" s="43">
        <f>COUNTIF($O$7:O4584,FORMULARIO!$AA$2)</f>
        <v>1</v>
      </c>
      <c r="M4584" s="46"/>
      <c r="P4584" s="16"/>
    </row>
    <row r="4585" spans="5:16" hidden="1" x14ac:dyDescent="0.25">
      <c r="E4585" s="43">
        <f>COUNTIF($O$7:O4585,FORMULARIO!$AA$2)</f>
        <v>1</v>
      </c>
      <c r="M4585" s="46"/>
      <c r="P4585" s="16"/>
    </row>
    <row r="4586" spans="5:16" hidden="1" x14ac:dyDescent="0.25">
      <c r="E4586" s="43">
        <f>COUNTIF($O$7:O4586,FORMULARIO!$AA$2)</f>
        <v>1</v>
      </c>
      <c r="M4586" s="46"/>
      <c r="P4586" s="16"/>
    </row>
    <row r="4587" spans="5:16" hidden="1" x14ac:dyDescent="0.25">
      <c r="E4587" s="43">
        <f>COUNTIF($O$7:O4587,FORMULARIO!$AA$2)</f>
        <v>1</v>
      </c>
      <c r="M4587" s="46"/>
      <c r="P4587" s="16"/>
    </row>
    <row r="4588" spans="5:16" hidden="1" x14ac:dyDescent="0.25">
      <c r="E4588" s="43">
        <f>COUNTIF($O$7:O4588,FORMULARIO!$AA$2)</f>
        <v>1</v>
      </c>
      <c r="M4588" s="46"/>
      <c r="P4588" s="16"/>
    </row>
    <row r="4589" spans="5:16" hidden="1" x14ac:dyDescent="0.25">
      <c r="E4589" s="43">
        <f>COUNTIF($O$7:O4589,FORMULARIO!$AA$2)</f>
        <v>1</v>
      </c>
      <c r="M4589" s="46"/>
      <c r="P4589" s="16"/>
    </row>
    <row r="4590" spans="5:16" hidden="1" x14ac:dyDescent="0.25">
      <c r="E4590" s="43">
        <f>COUNTIF($O$7:O4590,FORMULARIO!$AA$2)</f>
        <v>1</v>
      </c>
      <c r="M4590" s="46"/>
      <c r="P4590" s="16"/>
    </row>
    <row r="4591" spans="5:16" hidden="1" x14ac:dyDescent="0.25">
      <c r="E4591" s="43">
        <f>COUNTIF($O$7:O4591,FORMULARIO!$AA$2)</f>
        <v>1</v>
      </c>
      <c r="M4591" s="46"/>
      <c r="P4591" s="16"/>
    </row>
    <row r="4592" spans="5:16" hidden="1" x14ac:dyDescent="0.25">
      <c r="E4592" s="43">
        <f>COUNTIF($O$7:O4592,FORMULARIO!$AA$2)</f>
        <v>1</v>
      </c>
      <c r="M4592" s="46"/>
      <c r="P4592" s="16"/>
    </row>
    <row r="4593" spans="5:16" hidden="1" x14ac:dyDescent="0.25">
      <c r="E4593" s="43">
        <f>COUNTIF($O$7:O4593,FORMULARIO!$AA$2)</f>
        <v>1</v>
      </c>
      <c r="M4593" s="46"/>
      <c r="P4593" s="16"/>
    </row>
    <row r="4594" spans="5:16" hidden="1" x14ac:dyDescent="0.25">
      <c r="E4594" s="43">
        <f>COUNTIF($O$7:O4594,FORMULARIO!$AA$2)</f>
        <v>1</v>
      </c>
      <c r="M4594" s="46"/>
      <c r="P4594" s="16"/>
    </row>
    <row r="4595" spans="5:16" hidden="1" x14ac:dyDescent="0.25">
      <c r="E4595" s="43">
        <f>COUNTIF($O$7:O4595,FORMULARIO!$AA$2)</f>
        <v>1</v>
      </c>
      <c r="M4595" s="46"/>
      <c r="P4595" s="16"/>
    </row>
    <row r="4596" spans="5:16" hidden="1" x14ac:dyDescent="0.25">
      <c r="E4596" s="43">
        <f>COUNTIF($O$7:O4596,FORMULARIO!$AA$2)</f>
        <v>1</v>
      </c>
      <c r="M4596" s="46"/>
      <c r="P4596" s="16"/>
    </row>
    <row r="4597" spans="5:16" hidden="1" x14ac:dyDescent="0.25">
      <c r="E4597" s="43">
        <f>COUNTIF($O$7:O4597,FORMULARIO!$AA$2)</f>
        <v>1</v>
      </c>
      <c r="M4597" s="46"/>
      <c r="P4597" s="16"/>
    </row>
    <row r="4598" spans="5:16" hidden="1" x14ac:dyDescent="0.25">
      <c r="E4598" s="43">
        <f>COUNTIF($O$7:O4598,FORMULARIO!$AA$2)</f>
        <v>1</v>
      </c>
      <c r="M4598" s="46"/>
      <c r="P4598" s="16"/>
    </row>
    <row r="4599" spans="5:16" hidden="1" x14ac:dyDescent="0.25">
      <c r="E4599" s="43">
        <f>COUNTIF($O$7:O4599,FORMULARIO!$AA$2)</f>
        <v>1</v>
      </c>
      <c r="M4599" s="46"/>
      <c r="P4599" s="16"/>
    </row>
    <row r="4600" spans="5:16" hidden="1" x14ac:dyDescent="0.25">
      <c r="E4600" s="43">
        <f>COUNTIF($O$7:O4600,FORMULARIO!$AA$2)</f>
        <v>1</v>
      </c>
      <c r="M4600" s="46"/>
      <c r="P4600" s="16"/>
    </row>
    <row r="4601" spans="5:16" hidden="1" x14ac:dyDescent="0.25">
      <c r="E4601" s="43">
        <f>COUNTIF($O$7:O4601,FORMULARIO!$AA$2)</f>
        <v>1</v>
      </c>
      <c r="M4601" s="46"/>
      <c r="P4601" s="16"/>
    </row>
    <row r="4602" spans="5:16" hidden="1" x14ac:dyDescent="0.25">
      <c r="E4602" s="43">
        <f>COUNTIF($O$7:O4602,FORMULARIO!$AA$2)</f>
        <v>1</v>
      </c>
      <c r="M4602" s="46"/>
      <c r="P4602" s="16"/>
    </row>
    <row r="4603" spans="5:16" hidden="1" x14ac:dyDescent="0.25">
      <c r="E4603" s="43">
        <f>COUNTIF($O$7:O4603,FORMULARIO!$AA$2)</f>
        <v>1</v>
      </c>
      <c r="M4603" s="46"/>
      <c r="P4603" s="16"/>
    </row>
    <row r="4604" spans="5:16" hidden="1" x14ac:dyDescent="0.25">
      <c r="E4604" s="43">
        <f>COUNTIF($O$7:O4604,FORMULARIO!$AA$2)</f>
        <v>1</v>
      </c>
      <c r="M4604" s="46"/>
      <c r="P4604" s="16"/>
    </row>
    <row r="4605" spans="5:16" hidden="1" x14ac:dyDescent="0.25">
      <c r="E4605" s="43">
        <f>COUNTIF($O$7:O4605,FORMULARIO!$AA$2)</f>
        <v>1</v>
      </c>
      <c r="M4605" s="46"/>
      <c r="P4605" s="16"/>
    </row>
    <row r="4606" spans="5:16" hidden="1" x14ac:dyDescent="0.25">
      <c r="E4606" s="43">
        <f>COUNTIF($O$7:O4606,FORMULARIO!$AA$2)</f>
        <v>1</v>
      </c>
      <c r="M4606" s="46"/>
      <c r="P4606" s="16"/>
    </row>
    <row r="4607" spans="5:16" hidden="1" x14ac:dyDescent="0.25">
      <c r="E4607" s="43">
        <f>COUNTIF($O$7:O4607,FORMULARIO!$AA$2)</f>
        <v>1</v>
      </c>
      <c r="M4607" s="46"/>
      <c r="P4607" s="16"/>
    </row>
    <row r="4608" spans="5:16" hidden="1" x14ac:dyDescent="0.25">
      <c r="E4608" s="43">
        <f>COUNTIF($O$7:O4608,FORMULARIO!$AA$2)</f>
        <v>1</v>
      </c>
      <c r="M4608" s="46"/>
      <c r="P4608" s="16"/>
    </row>
    <row r="4609" spans="5:16" hidden="1" x14ac:dyDescent="0.25">
      <c r="E4609" s="43">
        <f>COUNTIF($O$7:O4609,FORMULARIO!$AA$2)</f>
        <v>1</v>
      </c>
      <c r="M4609" s="46"/>
      <c r="P4609" s="16"/>
    </row>
    <row r="4610" spans="5:16" hidden="1" x14ac:dyDescent="0.25">
      <c r="E4610" s="43">
        <f>COUNTIF($O$7:O4610,FORMULARIO!$AA$2)</f>
        <v>1</v>
      </c>
      <c r="M4610" s="46"/>
      <c r="P4610" s="16"/>
    </row>
    <row r="4611" spans="5:16" hidden="1" x14ac:dyDescent="0.25">
      <c r="E4611" s="43">
        <f>COUNTIF($O$7:O4611,FORMULARIO!$AA$2)</f>
        <v>1</v>
      </c>
      <c r="M4611" s="46"/>
      <c r="P4611" s="16"/>
    </row>
    <row r="4612" spans="5:16" hidden="1" x14ac:dyDescent="0.25">
      <c r="E4612" s="43">
        <f>COUNTIF($O$7:O4612,FORMULARIO!$AA$2)</f>
        <v>1</v>
      </c>
      <c r="M4612" s="46"/>
      <c r="P4612" s="16"/>
    </row>
    <row r="4613" spans="5:16" hidden="1" x14ac:dyDescent="0.25">
      <c r="E4613" s="43">
        <f>COUNTIF($O$7:O4613,FORMULARIO!$AA$2)</f>
        <v>1</v>
      </c>
      <c r="M4613" s="46"/>
      <c r="P4613" s="16"/>
    </row>
    <row r="4614" spans="5:16" hidden="1" x14ac:dyDescent="0.25">
      <c r="E4614" s="43">
        <f>COUNTIF($O$7:O4614,FORMULARIO!$AA$2)</f>
        <v>1</v>
      </c>
      <c r="M4614" s="46"/>
      <c r="P4614" s="16"/>
    </row>
    <row r="4615" spans="5:16" hidden="1" x14ac:dyDescent="0.25">
      <c r="E4615" s="43">
        <f>COUNTIF($O$7:O4615,FORMULARIO!$AA$2)</f>
        <v>1</v>
      </c>
      <c r="M4615" s="46"/>
      <c r="P4615" s="16"/>
    </row>
    <row r="4616" spans="5:16" hidden="1" x14ac:dyDescent="0.25">
      <c r="E4616" s="43">
        <f>COUNTIF($O$7:O4616,FORMULARIO!$AA$2)</f>
        <v>1</v>
      </c>
      <c r="M4616" s="46"/>
      <c r="P4616" s="16"/>
    </row>
    <row r="4617" spans="5:16" hidden="1" x14ac:dyDescent="0.25">
      <c r="E4617" s="43">
        <f>COUNTIF($O$7:O4617,FORMULARIO!$AA$2)</f>
        <v>1</v>
      </c>
      <c r="M4617" s="46"/>
      <c r="P4617" s="16"/>
    </row>
    <row r="4618" spans="5:16" hidden="1" x14ac:dyDescent="0.25">
      <c r="E4618" s="43">
        <f>COUNTIF($O$7:O4618,FORMULARIO!$AA$2)</f>
        <v>1</v>
      </c>
      <c r="M4618" s="46"/>
      <c r="P4618" s="16"/>
    </row>
    <row r="4619" spans="5:16" hidden="1" x14ac:dyDescent="0.25">
      <c r="E4619" s="43">
        <f>COUNTIF($O$7:O4619,FORMULARIO!$AA$2)</f>
        <v>1</v>
      </c>
      <c r="M4619" s="46"/>
      <c r="P4619" s="16"/>
    </row>
    <row r="4620" spans="5:16" hidden="1" x14ac:dyDescent="0.25">
      <c r="E4620" s="43">
        <f>COUNTIF($O$7:O4620,FORMULARIO!$AA$2)</f>
        <v>1</v>
      </c>
      <c r="M4620" s="46"/>
      <c r="P4620" s="16"/>
    </row>
    <row r="4621" spans="5:16" hidden="1" x14ac:dyDescent="0.25">
      <c r="E4621" s="43">
        <f>COUNTIF($O$7:O4621,FORMULARIO!$AA$2)</f>
        <v>1</v>
      </c>
      <c r="M4621" s="46"/>
      <c r="P4621" s="16"/>
    </row>
    <row r="4622" spans="5:16" hidden="1" x14ac:dyDescent="0.25">
      <c r="E4622" s="43">
        <f>COUNTIF($O$7:O4622,FORMULARIO!$AA$2)</f>
        <v>1</v>
      </c>
      <c r="M4622" s="46"/>
      <c r="P4622" s="16"/>
    </row>
    <row r="4623" spans="5:16" hidden="1" x14ac:dyDescent="0.25">
      <c r="E4623" s="43">
        <f>COUNTIF($O$7:O4623,FORMULARIO!$AA$2)</f>
        <v>1</v>
      </c>
      <c r="M4623" s="46"/>
      <c r="P4623" s="16"/>
    </row>
    <row r="4624" spans="5:16" hidden="1" x14ac:dyDescent="0.25">
      <c r="E4624" s="43">
        <f>COUNTIF($O$7:O4624,FORMULARIO!$AA$2)</f>
        <v>1</v>
      </c>
      <c r="M4624" s="46"/>
      <c r="P4624" s="16"/>
    </row>
    <row r="4625" spans="5:16" hidden="1" x14ac:dyDescent="0.25">
      <c r="E4625" s="43">
        <f>COUNTIF($O$7:O4625,FORMULARIO!$AA$2)</f>
        <v>1</v>
      </c>
      <c r="M4625" s="46"/>
      <c r="P4625" s="16"/>
    </row>
    <row r="4626" spans="5:16" hidden="1" x14ac:dyDescent="0.25">
      <c r="E4626" s="43">
        <f>COUNTIF($O$7:O4626,FORMULARIO!$AA$2)</f>
        <v>1</v>
      </c>
      <c r="M4626" s="46"/>
      <c r="P4626" s="16"/>
    </row>
    <row r="4627" spans="5:16" hidden="1" x14ac:dyDescent="0.25">
      <c r="E4627" s="43">
        <f>COUNTIF($O$7:O4627,FORMULARIO!$AA$2)</f>
        <v>1</v>
      </c>
      <c r="M4627" s="46"/>
      <c r="P4627" s="16"/>
    </row>
    <row r="4628" spans="5:16" hidden="1" x14ac:dyDescent="0.25">
      <c r="E4628" s="43">
        <f>COUNTIF($O$7:O4628,FORMULARIO!$AA$2)</f>
        <v>1</v>
      </c>
      <c r="M4628" s="46"/>
      <c r="P4628" s="16"/>
    </row>
    <row r="4629" spans="5:16" hidden="1" x14ac:dyDescent="0.25">
      <c r="E4629" s="43">
        <f>COUNTIF($O$7:O4629,FORMULARIO!$AA$2)</f>
        <v>1</v>
      </c>
      <c r="M4629" s="46"/>
      <c r="P4629" s="16"/>
    </row>
    <row r="4630" spans="5:16" hidden="1" x14ac:dyDescent="0.25">
      <c r="E4630" s="43">
        <f>COUNTIF($O$7:O4630,FORMULARIO!$AA$2)</f>
        <v>1</v>
      </c>
      <c r="M4630" s="46"/>
      <c r="P4630" s="16"/>
    </row>
    <row r="4631" spans="5:16" hidden="1" x14ac:dyDescent="0.25">
      <c r="E4631" s="43">
        <f>COUNTIF($O$7:O4631,FORMULARIO!$AA$2)</f>
        <v>1</v>
      </c>
      <c r="M4631" s="46"/>
      <c r="P4631" s="16"/>
    </row>
    <row r="4632" spans="5:16" hidden="1" x14ac:dyDescent="0.25">
      <c r="E4632" s="43">
        <f>COUNTIF($O$7:O4632,FORMULARIO!$AA$2)</f>
        <v>1</v>
      </c>
      <c r="M4632" s="46"/>
      <c r="P4632" s="16"/>
    </row>
    <row r="4633" spans="5:16" hidden="1" x14ac:dyDescent="0.25">
      <c r="E4633" s="43">
        <f>COUNTIF($O$7:O4633,FORMULARIO!$AA$2)</f>
        <v>1</v>
      </c>
      <c r="M4633" s="46"/>
      <c r="P4633" s="16"/>
    </row>
    <row r="4634" spans="5:16" hidden="1" x14ac:dyDescent="0.25">
      <c r="E4634" s="43">
        <f>COUNTIF($O$7:O4634,FORMULARIO!$AA$2)</f>
        <v>1</v>
      </c>
      <c r="M4634" s="46"/>
      <c r="P4634" s="16"/>
    </row>
    <row r="4635" spans="5:16" hidden="1" x14ac:dyDescent="0.25">
      <c r="E4635" s="43">
        <f>COUNTIF($O$7:O4635,FORMULARIO!$AA$2)</f>
        <v>1</v>
      </c>
      <c r="M4635" s="46"/>
      <c r="P4635" s="16"/>
    </row>
    <row r="4636" spans="5:16" hidden="1" x14ac:dyDescent="0.25">
      <c r="E4636" s="43">
        <f>COUNTIF($O$7:O4636,FORMULARIO!$AA$2)</f>
        <v>1</v>
      </c>
      <c r="M4636" s="46"/>
      <c r="P4636" s="16"/>
    </row>
    <row r="4637" spans="5:16" hidden="1" x14ac:dyDescent="0.25">
      <c r="E4637" s="43">
        <f>COUNTIF($O$7:O4637,FORMULARIO!$AA$2)</f>
        <v>1</v>
      </c>
      <c r="M4637" s="46"/>
      <c r="P4637" s="16"/>
    </row>
    <row r="4638" spans="5:16" hidden="1" x14ac:dyDescent="0.25">
      <c r="E4638" s="43">
        <f>COUNTIF($O$7:O4638,FORMULARIO!$AA$2)</f>
        <v>1</v>
      </c>
      <c r="M4638" s="46"/>
      <c r="P4638" s="16"/>
    </row>
    <row r="4639" spans="5:16" hidden="1" x14ac:dyDescent="0.25">
      <c r="E4639" s="43">
        <f>COUNTIF($O$7:O4639,FORMULARIO!$AA$2)</f>
        <v>1</v>
      </c>
      <c r="M4639" s="46"/>
      <c r="P4639" s="16"/>
    </row>
    <row r="4640" spans="5:16" hidden="1" x14ac:dyDescent="0.25">
      <c r="E4640" s="43">
        <f>COUNTIF($O$7:O4640,FORMULARIO!$AA$2)</f>
        <v>1</v>
      </c>
      <c r="M4640" s="46"/>
      <c r="P4640" s="16"/>
    </row>
    <row r="4641" spans="5:16" hidden="1" x14ac:dyDescent="0.25">
      <c r="E4641" s="43">
        <f>COUNTIF($O$7:O4641,FORMULARIO!$AA$2)</f>
        <v>1</v>
      </c>
      <c r="M4641" s="46"/>
      <c r="P4641" s="16"/>
    </row>
    <row r="4642" spans="5:16" hidden="1" x14ac:dyDescent="0.25">
      <c r="E4642" s="43">
        <f>COUNTIF($O$7:O4642,FORMULARIO!$AA$2)</f>
        <v>1</v>
      </c>
      <c r="M4642" s="46"/>
      <c r="P4642" s="16"/>
    </row>
    <row r="4643" spans="5:16" hidden="1" x14ac:dyDescent="0.25">
      <c r="E4643" s="43">
        <f>COUNTIF($O$7:O4643,FORMULARIO!$AA$2)</f>
        <v>1</v>
      </c>
      <c r="M4643" s="46"/>
      <c r="P4643" s="16"/>
    </row>
    <row r="4644" spans="5:16" hidden="1" x14ac:dyDescent="0.25">
      <c r="E4644" s="43">
        <f>COUNTIF($O$7:O4644,FORMULARIO!$AA$2)</f>
        <v>1</v>
      </c>
      <c r="M4644" s="46"/>
      <c r="P4644" s="16"/>
    </row>
    <row r="4645" spans="5:16" hidden="1" x14ac:dyDescent="0.25">
      <c r="E4645" s="43">
        <f>COUNTIF($O$7:O4645,FORMULARIO!$AA$2)</f>
        <v>1</v>
      </c>
      <c r="M4645" s="46"/>
      <c r="P4645" s="16"/>
    </row>
    <row r="4646" spans="5:16" hidden="1" x14ac:dyDescent="0.25">
      <c r="E4646" s="43">
        <f>COUNTIF($O$7:O4646,FORMULARIO!$AA$2)</f>
        <v>1</v>
      </c>
      <c r="M4646" s="46"/>
      <c r="P4646" s="16"/>
    </row>
    <row r="4647" spans="5:16" hidden="1" x14ac:dyDescent="0.25">
      <c r="E4647" s="43">
        <f>COUNTIF($O$7:O4647,FORMULARIO!$AA$2)</f>
        <v>1</v>
      </c>
      <c r="M4647" s="46"/>
      <c r="P4647" s="16"/>
    </row>
    <row r="4648" spans="5:16" hidden="1" x14ac:dyDescent="0.25">
      <c r="E4648" s="43">
        <f>COUNTIF($O$7:O4648,FORMULARIO!$AA$2)</f>
        <v>1</v>
      </c>
      <c r="M4648" s="46"/>
      <c r="P4648" s="16"/>
    </row>
    <row r="4649" spans="5:16" hidden="1" x14ac:dyDescent="0.25">
      <c r="E4649" s="43">
        <f>COUNTIF($O$7:O4649,FORMULARIO!$AA$2)</f>
        <v>1</v>
      </c>
      <c r="M4649" s="46"/>
      <c r="P4649" s="16"/>
    </row>
    <row r="4650" spans="5:16" hidden="1" x14ac:dyDescent="0.25">
      <c r="E4650" s="43">
        <f>COUNTIF($O$7:O4650,FORMULARIO!$AA$2)</f>
        <v>1</v>
      </c>
      <c r="M4650" s="46"/>
      <c r="P4650" s="16"/>
    </row>
    <row r="4651" spans="5:16" hidden="1" x14ac:dyDescent="0.25">
      <c r="E4651" s="43">
        <f>COUNTIF($O$7:O4651,FORMULARIO!$AA$2)</f>
        <v>1</v>
      </c>
      <c r="M4651" s="46"/>
      <c r="P4651" s="16"/>
    </row>
    <row r="4652" spans="5:16" hidden="1" x14ac:dyDescent="0.25">
      <c r="E4652" s="43">
        <f>COUNTIF($O$7:O4652,FORMULARIO!$AA$2)</f>
        <v>1</v>
      </c>
      <c r="M4652" s="46"/>
      <c r="P4652" s="16"/>
    </row>
    <row r="4653" spans="5:16" hidden="1" x14ac:dyDescent="0.25">
      <c r="E4653" s="43">
        <f>COUNTIF($O$7:O4653,FORMULARIO!$AA$2)</f>
        <v>1</v>
      </c>
      <c r="M4653" s="46"/>
      <c r="P4653" s="16"/>
    </row>
    <row r="4654" spans="5:16" hidden="1" x14ac:dyDescent="0.25">
      <c r="E4654" s="43">
        <f>COUNTIF($O$7:O4654,FORMULARIO!$AA$2)</f>
        <v>1</v>
      </c>
      <c r="M4654" s="46"/>
      <c r="P4654" s="16"/>
    </row>
    <row r="4655" spans="5:16" hidden="1" x14ac:dyDescent="0.25">
      <c r="E4655" s="43">
        <f>COUNTIF($O$7:O4655,FORMULARIO!$AA$2)</f>
        <v>1</v>
      </c>
      <c r="M4655" s="46"/>
      <c r="P4655" s="16"/>
    </row>
    <row r="4656" spans="5:16" hidden="1" x14ac:dyDescent="0.25">
      <c r="E4656" s="43">
        <f>COUNTIF($O$7:O4656,FORMULARIO!$AA$2)</f>
        <v>1</v>
      </c>
      <c r="M4656" s="46"/>
      <c r="P4656" s="16"/>
    </row>
    <row r="4657" spans="5:16" hidden="1" x14ac:dyDescent="0.25">
      <c r="E4657" s="43">
        <f>COUNTIF($O$7:O4657,FORMULARIO!$AA$2)</f>
        <v>1</v>
      </c>
      <c r="M4657" s="46"/>
      <c r="P4657" s="16"/>
    </row>
    <row r="4658" spans="5:16" hidden="1" x14ac:dyDescent="0.25">
      <c r="E4658" s="43">
        <f>COUNTIF($O$7:O4658,FORMULARIO!$AA$2)</f>
        <v>1</v>
      </c>
      <c r="M4658" s="46"/>
      <c r="P4658" s="16"/>
    </row>
    <row r="4659" spans="5:16" hidden="1" x14ac:dyDescent="0.25">
      <c r="E4659" s="43">
        <f>COUNTIF($O$7:O4659,FORMULARIO!$AA$2)</f>
        <v>1</v>
      </c>
      <c r="M4659" s="46"/>
      <c r="P4659" s="16"/>
    </row>
    <row r="4660" spans="5:16" hidden="1" x14ac:dyDescent="0.25">
      <c r="E4660" s="43">
        <f>COUNTIF($O$7:O4660,FORMULARIO!$AA$2)</f>
        <v>1</v>
      </c>
      <c r="M4660" s="46"/>
      <c r="P4660" s="16"/>
    </row>
    <row r="4661" spans="5:16" hidden="1" x14ac:dyDescent="0.25">
      <c r="E4661" s="43">
        <f>COUNTIF($O$7:O4661,FORMULARIO!$AA$2)</f>
        <v>1</v>
      </c>
      <c r="M4661" s="46"/>
      <c r="P4661" s="16"/>
    </row>
    <row r="4662" spans="5:16" hidden="1" x14ac:dyDescent="0.25">
      <c r="E4662" s="43">
        <f>COUNTIF($O$7:O4662,FORMULARIO!$AA$2)</f>
        <v>1</v>
      </c>
      <c r="M4662" s="46"/>
      <c r="P4662" s="16"/>
    </row>
    <row r="4663" spans="5:16" hidden="1" x14ac:dyDescent="0.25">
      <c r="E4663" s="43">
        <f>COUNTIF($O$7:O4663,FORMULARIO!$AA$2)</f>
        <v>1</v>
      </c>
      <c r="M4663" s="46"/>
      <c r="P4663" s="16"/>
    </row>
    <row r="4664" spans="5:16" hidden="1" x14ac:dyDescent="0.25">
      <c r="E4664" s="43">
        <f>COUNTIF($O$7:O4664,FORMULARIO!$AA$2)</f>
        <v>1</v>
      </c>
      <c r="M4664" s="46"/>
      <c r="P4664" s="16"/>
    </row>
    <row r="4665" spans="5:16" hidden="1" x14ac:dyDescent="0.25">
      <c r="E4665" s="43">
        <f>COUNTIF($O$7:O4665,FORMULARIO!$AA$2)</f>
        <v>1</v>
      </c>
      <c r="M4665" s="46"/>
      <c r="P4665" s="16"/>
    </row>
    <row r="4666" spans="5:16" hidden="1" x14ac:dyDescent="0.25">
      <c r="E4666" s="43">
        <f>COUNTIF($O$7:O4666,FORMULARIO!$AA$2)</f>
        <v>1</v>
      </c>
      <c r="M4666" s="46"/>
      <c r="P4666" s="16"/>
    </row>
    <row r="4667" spans="5:16" hidden="1" x14ac:dyDescent="0.25">
      <c r="E4667" s="43">
        <f>COUNTIF($O$7:O4667,FORMULARIO!$AA$2)</f>
        <v>1</v>
      </c>
      <c r="M4667" s="46"/>
      <c r="P4667" s="16"/>
    </row>
    <row r="4668" spans="5:16" hidden="1" x14ac:dyDescent="0.25">
      <c r="E4668" s="43">
        <f>COUNTIF($O$7:O4668,FORMULARIO!$AA$2)</f>
        <v>1</v>
      </c>
      <c r="M4668" s="46"/>
      <c r="P4668" s="16"/>
    </row>
    <row r="4669" spans="5:16" hidden="1" x14ac:dyDescent="0.25">
      <c r="E4669" s="43">
        <f>COUNTIF($O$7:O4669,FORMULARIO!$AA$2)</f>
        <v>1</v>
      </c>
      <c r="M4669" s="46"/>
      <c r="P4669" s="16"/>
    </row>
    <row r="4670" spans="5:16" hidden="1" x14ac:dyDescent="0.25">
      <c r="E4670" s="43">
        <f>COUNTIF($O$7:O4670,FORMULARIO!$AA$2)</f>
        <v>1</v>
      </c>
      <c r="M4670" s="46"/>
      <c r="P4670" s="16"/>
    </row>
    <row r="4671" spans="5:16" hidden="1" x14ac:dyDescent="0.25">
      <c r="E4671" s="43">
        <f>COUNTIF($O$7:O4671,FORMULARIO!$AA$2)</f>
        <v>1</v>
      </c>
      <c r="M4671" s="46"/>
      <c r="P4671" s="16"/>
    </row>
    <row r="4672" spans="5:16" hidden="1" x14ac:dyDescent="0.25">
      <c r="E4672" s="43">
        <f>COUNTIF($O$7:O4672,FORMULARIO!$AA$2)</f>
        <v>1</v>
      </c>
      <c r="M4672" s="46"/>
      <c r="P4672" s="16"/>
    </row>
    <row r="4673" spans="5:16" hidden="1" x14ac:dyDescent="0.25">
      <c r="E4673" s="43">
        <f>COUNTIF($O$7:O4673,FORMULARIO!$AA$2)</f>
        <v>1</v>
      </c>
      <c r="M4673" s="46"/>
      <c r="P4673" s="16"/>
    </row>
    <row r="4674" spans="5:16" hidden="1" x14ac:dyDescent="0.25">
      <c r="E4674" s="43">
        <f>COUNTIF($O$7:O4674,FORMULARIO!$AA$2)</f>
        <v>1</v>
      </c>
      <c r="M4674" s="46"/>
      <c r="P4674" s="16"/>
    </row>
    <row r="4675" spans="5:16" hidden="1" x14ac:dyDescent="0.25">
      <c r="E4675" s="43">
        <f>COUNTIF($O$7:O4675,FORMULARIO!$AA$2)</f>
        <v>1</v>
      </c>
      <c r="M4675" s="46"/>
      <c r="P4675" s="16"/>
    </row>
    <row r="4676" spans="5:16" hidden="1" x14ac:dyDescent="0.25">
      <c r="E4676" s="43">
        <f>COUNTIF($O$7:O4676,FORMULARIO!$AA$2)</f>
        <v>1</v>
      </c>
      <c r="M4676" s="46"/>
      <c r="P4676" s="16"/>
    </row>
    <row r="4677" spans="5:16" hidden="1" x14ac:dyDescent="0.25">
      <c r="E4677" s="43">
        <f>COUNTIF($O$7:O4677,FORMULARIO!$AA$2)</f>
        <v>1</v>
      </c>
      <c r="M4677" s="46"/>
      <c r="P4677" s="16"/>
    </row>
    <row r="4678" spans="5:16" hidden="1" x14ac:dyDescent="0.25">
      <c r="E4678" s="43">
        <f>COUNTIF($O$7:O4678,FORMULARIO!$AA$2)</f>
        <v>1</v>
      </c>
      <c r="M4678" s="46"/>
      <c r="P4678" s="16"/>
    </row>
    <row r="4679" spans="5:16" hidden="1" x14ac:dyDescent="0.25">
      <c r="E4679" s="43">
        <f>COUNTIF($O$7:O4679,FORMULARIO!$AA$2)</f>
        <v>1</v>
      </c>
      <c r="M4679" s="46"/>
      <c r="P4679" s="16"/>
    </row>
    <row r="4680" spans="5:16" hidden="1" x14ac:dyDescent="0.25">
      <c r="E4680" s="43">
        <f>COUNTIF($O$7:O4680,FORMULARIO!$AA$2)</f>
        <v>1</v>
      </c>
      <c r="M4680" s="46"/>
      <c r="P4680" s="16"/>
    </row>
    <row r="4681" spans="5:16" hidden="1" x14ac:dyDescent="0.25">
      <c r="E4681" s="43">
        <f>COUNTIF($O$7:O4681,FORMULARIO!$AA$2)</f>
        <v>1</v>
      </c>
      <c r="M4681" s="46"/>
      <c r="P4681" s="16"/>
    </row>
    <row r="4682" spans="5:16" hidden="1" x14ac:dyDescent="0.25">
      <c r="E4682" s="43">
        <f>COUNTIF($O$7:O4682,FORMULARIO!$AA$2)</f>
        <v>1</v>
      </c>
      <c r="M4682" s="46"/>
      <c r="P4682" s="16"/>
    </row>
    <row r="4683" spans="5:16" hidden="1" x14ac:dyDescent="0.25">
      <c r="E4683" s="43">
        <f>COUNTIF($O$7:O4683,FORMULARIO!$AA$2)</f>
        <v>1</v>
      </c>
      <c r="M4683" s="46"/>
      <c r="P4683" s="16"/>
    </row>
    <row r="4684" spans="5:16" hidden="1" x14ac:dyDescent="0.25">
      <c r="E4684" s="43">
        <f>COUNTIF($O$7:O4684,FORMULARIO!$AA$2)</f>
        <v>1</v>
      </c>
      <c r="M4684" s="46"/>
      <c r="P4684" s="16"/>
    </row>
    <row r="4685" spans="5:16" hidden="1" x14ac:dyDescent="0.25">
      <c r="E4685" s="43">
        <f>COUNTIF($O$7:O4685,FORMULARIO!$AA$2)</f>
        <v>1</v>
      </c>
      <c r="M4685" s="46"/>
      <c r="P4685" s="16"/>
    </row>
    <row r="4686" spans="5:16" hidden="1" x14ac:dyDescent="0.25">
      <c r="E4686" s="43">
        <f>COUNTIF($O$7:O4686,FORMULARIO!$AA$2)</f>
        <v>1</v>
      </c>
      <c r="M4686" s="46"/>
      <c r="P4686" s="16"/>
    </row>
    <row r="4687" spans="5:16" hidden="1" x14ac:dyDescent="0.25">
      <c r="E4687" s="43">
        <f>COUNTIF($O$7:O4687,FORMULARIO!$AA$2)</f>
        <v>1</v>
      </c>
      <c r="M4687" s="46"/>
      <c r="P4687" s="16"/>
    </row>
    <row r="4688" spans="5:16" hidden="1" x14ac:dyDescent="0.25">
      <c r="E4688" s="43">
        <f>COUNTIF($O$7:O4688,FORMULARIO!$AA$2)</f>
        <v>1</v>
      </c>
      <c r="M4688" s="46"/>
      <c r="P4688" s="16"/>
    </row>
    <row r="4689" spans="5:16" hidden="1" x14ac:dyDescent="0.25">
      <c r="E4689" s="43">
        <f>COUNTIF($O$7:O4689,FORMULARIO!$AA$2)</f>
        <v>1</v>
      </c>
      <c r="M4689" s="46"/>
      <c r="P4689" s="16"/>
    </row>
    <row r="4690" spans="5:16" hidden="1" x14ac:dyDescent="0.25">
      <c r="E4690" s="43">
        <f>COUNTIF($O$7:O4690,FORMULARIO!$AA$2)</f>
        <v>1</v>
      </c>
      <c r="M4690" s="46"/>
      <c r="P4690" s="16"/>
    </row>
    <row r="4691" spans="5:16" hidden="1" x14ac:dyDescent="0.25">
      <c r="E4691" s="43">
        <f>COUNTIF($O$7:O4691,FORMULARIO!$AA$2)</f>
        <v>1</v>
      </c>
      <c r="M4691" s="46"/>
      <c r="P4691" s="16"/>
    </row>
    <row r="4692" spans="5:16" hidden="1" x14ac:dyDescent="0.25">
      <c r="E4692" s="43">
        <f>COUNTIF($O$7:O4692,FORMULARIO!$AA$2)</f>
        <v>1</v>
      </c>
      <c r="M4692" s="46"/>
      <c r="P4692" s="16"/>
    </row>
    <row r="4693" spans="5:16" hidden="1" x14ac:dyDescent="0.25">
      <c r="E4693" s="43">
        <f>COUNTIF($O$7:O4693,FORMULARIO!$AA$2)</f>
        <v>1</v>
      </c>
      <c r="M4693" s="46"/>
      <c r="P4693" s="16"/>
    </row>
    <row r="4694" spans="5:16" hidden="1" x14ac:dyDescent="0.25">
      <c r="E4694" s="43">
        <f>COUNTIF($O$7:O4694,FORMULARIO!$AA$2)</f>
        <v>1</v>
      </c>
      <c r="M4694" s="46"/>
      <c r="P4694" s="16"/>
    </row>
    <row r="4695" spans="5:16" hidden="1" x14ac:dyDescent="0.25">
      <c r="E4695" s="43">
        <f>COUNTIF($O$7:O4695,FORMULARIO!$AA$2)</f>
        <v>1</v>
      </c>
      <c r="M4695" s="46"/>
      <c r="P4695" s="16"/>
    </row>
    <row r="4696" spans="5:16" hidden="1" x14ac:dyDescent="0.25">
      <c r="E4696" s="43">
        <f>COUNTIF($O$7:O4696,FORMULARIO!$AA$2)</f>
        <v>1</v>
      </c>
      <c r="M4696" s="46"/>
      <c r="P4696" s="16"/>
    </row>
    <row r="4697" spans="5:16" hidden="1" x14ac:dyDescent="0.25">
      <c r="E4697" s="43">
        <f>COUNTIF($O$7:O4697,FORMULARIO!$AA$2)</f>
        <v>1</v>
      </c>
      <c r="M4697" s="46"/>
      <c r="P4697" s="16"/>
    </row>
    <row r="4698" spans="5:16" hidden="1" x14ac:dyDescent="0.25">
      <c r="E4698" s="43">
        <f>COUNTIF($O$7:O4698,FORMULARIO!$AA$2)</f>
        <v>1</v>
      </c>
      <c r="M4698" s="46"/>
      <c r="P4698" s="16"/>
    </row>
    <row r="4699" spans="5:16" hidden="1" x14ac:dyDescent="0.25">
      <c r="E4699" s="43">
        <f>COUNTIF($O$7:O4699,FORMULARIO!$AA$2)</f>
        <v>1</v>
      </c>
      <c r="M4699" s="46"/>
      <c r="P4699" s="16"/>
    </row>
    <row r="4700" spans="5:16" hidden="1" x14ac:dyDescent="0.25">
      <c r="E4700" s="43">
        <f>COUNTIF($O$7:O4700,FORMULARIO!$AA$2)</f>
        <v>1</v>
      </c>
      <c r="M4700" s="46"/>
      <c r="P4700" s="16"/>
    </row>
    <row r="4701" spans="5:16" hidden="1" x14ac:dyDescent="0.25">
      <c r="E4701" s="43">
        <f>COUNTIF($O$7:O4701,FORMULARIO!$AA$2)</f>
        <v>1</v>
      </c>
      <c r="M4701" s="46"/>
      <c r="P4701" s="16"/>
    </row>
    <row r="4702" spans="5:16" hidden="1" x14ac:dyDescent="0.25">
      <c r="E4702" s="43">
        <f>COUNTIF($O$7:O4702,FORMULARIO!$AA$2)</f>
        <v>1</v>
      </c>
      <c r="M4702" s="46"/>
      <c r="P4702" s="16"/>
    </row>
    <row r="4703" spans="5:16" hidden="1" x14ac:dyDescent="0.25">
      <c r="E4703" s="43">
        <f>COUNTIF($O$7:O4703,FORMULARIO!$AA$2)</f>
        <v>1</v>
      </c>
      <c r="M4703" s="46"/>
      <c r="P4703" s="16"/>
    </row>
    <row r="4704" spans="5:16" hidden="1" x14ac:dyDescent="0.25">
      <c r="E4704" s="43">
        <f>COUNTIF($O$7:O4704,FORMULARIO!$AA$2)</f>
        <v>1</v>
      </c>
      <c r="M4704" s="46"/>
      <c r="P4704" s="16"/>
    </row>
    <row r="4705" spans="5:16" hidden="1" x14ac:dyDescent="0.25">
      <c r="E4705" s="43">
        <f>COUNTIF($O$7:O4705,FORMULARIO!$AA$2)</f>
        <v>1</v>
      </c>
      <c r="M4705" s="46"/>
      <c r="P4705" s="16"/>
    </row>
    <row r="4706" spans="5:16" hidden="1" x14ac:dyDescent="0.25">
      <c r="E4706" s="43">
        <f>COUNTIF($O$7:O4706,FORMULARIO!$AA$2)</f>
        <v>1</v>
      </c>
      <c r="M4706" s="46"/>
      <c r="P4706" s="16"/>
    </row>
    <row r="4707" spans="5:16" hidden="1" x14ac:dyDescent="0.25">
      <c r="E4707" s="43">
        <f>COUNTIF($O$7:O4707,FORMULARIO!$AA$2)</f>
        <v>1</v>
      </c>
      <c r="M4707" s="46"/>
      <c r="P4707" s="16"/>
    </row>
    <row r="4708" spans="5:16" hidden="1" x14ac:dyDescent="0.25">
      <c r="E4708" s="43">
        <f>COUNTIF($O$7:O4708,FORMULARIO!$AA$2)</f>
        <v>1</v>
      </c>
      <c r="M4708" s="46"/>
      <c r="P4708" s="16"/>
    </row>
    <row r="4709" spans="5:16" hidden="1" x14ac:dyDescent="0.25">
      <c r="E4709" s="43">
        <f>COUNTIF($O$7:O4709,FORMULARIO!$AA$2)</f>
        <v>1</v>
      </c>
      <c r="M4709" s="46"/>
      <c r="P4709" s="16"/>
    </row>
    <row r="4710" spans="5:16" hidden="1" x14ac:dyDescent="0.25">
      <c r="E4710" s="43">
        <f>COUNTIF($O$7:O4710,FORMULARIO!$AA$2)</f>
        <v>1</v>
      </c>
      <c r="M4710" s="46"/>
      <c r="P4710" s="16"/>
    </row>
    <row r="4711" spans="5:16" hidden="1" x14ac:dyDescent="0.25">
      <c r="E4711" s="43">
        <f>COUNTIF($O$7:O4711,FORMULARIO!$AA$2)</f>
        <v>1</v>
      </c>
      <c r="M4711" s="46"/>
      <c r="P4711" s="16"/>
    </row>
    <row r="4712" spans="5:16" hidden="1" x14ac:dyDescent="0.25">
      <c r="E4712" s="43">
        <f>COUNTIF($O$7:O4712,FORMULARIO!$AA$2)</f>
        <v>1</v>
      </c>
      <c r="M4712" s="46"/>
      <c r="P4712" s="16"/>
    </row>
    <row r="4713" spans="5:16" hidden="1" x14ac:dyDescent="0.25">
      <c r="E4713" s="43">
        <f>COUNTIF($O$7:O4713,FORMULARIO!$AA$2)</f>
        <v>1</v>
      </c>
      <c r="M4713" s="46"/>
      <c r="P4713" s="16"/>
    </row>
    <row r="4714" spans="5:16" hidden="1" x14ac:dyDescent="0.25">
      <c r="E4714" s="43">
        <f>COUNTIF($O$7:O4714,FORMULARIO!$AA$2)</f>
        <v>1</v>
      </c>
      <c r="M4714" s="46"/>
      <c r="P4714" s="16"/>
    </row>
    <row r="4715" spans="5:16" hidden="1" x14ac:dyDescent="0.25">
      <c r="E4715" s="43">
        <f>COUNTIF($O$7:O4715,FORMULARIO!$AA$2)</f>
        <v>1</v>
      </c>
      <c r="M4715" s="46"/>
      <c r="P4715" s="16"/>
    </row>
    <row r="4716" spans="5:16" hidden="1" x14ac:dyDescent="0.25">
      <c r="E4716" s="43">
        <f>COUNTIF($O$7:O4716,FORMULARIO!$AA$2)</f>
        <v>1</v>
      </c>
      <c r="M4716" s="46"/>
      <c r="P4716" s="16"/>
    </row>
    <row r="4717" spans="5:16" hidden="1" x14ac:dyDescent="0.25">
      <c r="E4717" s="43">
        <f>COUNTIF($O$7:O4717,FORMULARIO!$AA$2)</f>
        <v>1</v>
      </c>
      <c r="M4717" s="46"/>
      <c r="P4717" s="16"/>
    </row>
    <row r="4718" spans="5:16" hidden="1" x14ac:dyDescent="0.25">
      <c r="E4718" s="43">
        <f>COUNTIF($O$7:O4718,FORMULARIO!$AA$2)</f>
        <v>1</v>
      </c>
      <c r="M4718" s="46"/>
      <c r="P4718" s="16"/>
    </row>
    <row r="4719" spans="5:16" hidden="1" x14ac:dyDescent="0.25">
      <c r="E4719" s="43">
        <f>COUNTIF($O$7:O4719,FORMULARIO!$AA$2)</f>
        <v>1</v>
      </c>
      <c r="M4719" s="46"/>
      <c r="P4719" s="16"/>
    </row>
    <row r="4720" spans="5:16" hidden="1" x14ac:dyDescent="0.25">
      <c r="E4720" s="43">
        <f>COUNTIF($O$7:O4720,FORMULARIO!$AA$2)</f>
        <v>1</v>
      </c>
      <c r="M4720" s="46"/>
      <c r="P4720" s="16"/>
    </row>
    <row r="4721" spans="5:16" hidden="1" x14ac:dyDescent="0.25">
      <c r="E4721" s="43">
        <f>COUNTIF($O$7:O4721,FORMULARIO!$AA$2)</f>
        <v>1</v>
      </c>
      <c r="M4721" s="46"/>
      <c r="P4721" s="16"/>
    </row>
    <row r="4722" spans="5:16" hidden="1" x14ac:dyDescent="0.25">
      <c r="E4722" s="43">
        <f>COUNTIF($O$7:O4722,FORMULARIO!$AA$2)</f>
        <v>1</v>
      </c>
      <c r="M4722" s="46"/>
      <c r="P4722" s="16"/>
    </row>
    <row r="4723" spans="5:16" hidden="1" x14ac:dyDescent="0.25">
      <c r="E4723" s="43">
        <f>COUNTIF($O$7:O4723,FORMULARIO!$AA$2)</f>
        <v>1</v>
      </c>
      <c r="M4723" s="46"/>
      <c r="P4723" s="16"/>
    </row>
    <row r="4724" spans="5:16" hidden="1" x14ac:dyDescent="0.25">
      <c r="E4724" s="43">
        <f>COUNTIF($O$7:O4724,FORMULARIO!$AA$2)</f>
        <v>1</v>
      </c>
      <c r="M4724" s="46"/>
      <c r="P4724" s="16"/>
    </row>
    <row r="4725" spans="5:16" hidden="1" x14ac:dyDescent="0.25">
      <c r="E4725" s="43">
        <f>COUNTIF($O$7:O4725,FORMULARIO!$AA$2)</f>
        <v>1</v>
      </c>
      <c r="M4725" s="46"/>
      <c r="P4725" s="16"/>
    </row>
    <row r="4726" spans="5:16" hidden="1" x14ac:dyDescent="0.25">
      <c r="E4726" s="43">
        <f>COUNTIF($O$7:O4726,FORMULARIO!$AA$2)</f>
        <v>1</v>
      </c>
      <c r="M4726" s="46"/>
      <c r="P4726" s="16"/>
    </row>
    <row r="4727" spans="5:16" hidden="1" x14ac:dyDescent="0.25">
      <c r="E4727" s="43">
        <f>COUNTIF($O$7:O4727,FORMULARIO!$AA$2)</f>
        <v>1</v>
      </c>
      <c r="M4727" s="46"/>
      <c r="P4727" s="16"/>
    </row>
    <row r="4728" spans="5:16" hidden="1" x14ac:dyDescent="0.25">
      <c r="E4728" s="43">
        <f>COUNTIF($O$7:O4728,FORMULARIO!$AA$2)</f>
        <v>1</v>
      </c>
      <c r="M4728" s="46"/>
      <c r="P4728" s="16"/>
    </row>
    <row r="4729" spans="5:16" hidden="1" x14ac:dyDescent="0.25">
      <c r="E4729" s="43">
        <f>COUNTIF($O$7:O4729,FORMULARIO!$AA$2)</f>
        <v>1</v>
      </c>
      <c r="M4729" s="46"/>
      <c r="P4729" s="16"/>
    </row>
    <row r="4730" spans="5:16" hidden="1" x14ac:dyDescent="0.25">
      <c r="E4730" s="43">
        <f>COUNTIF($O$7:O4730,FORMULARIO!$AA$2)</f>
        <v>1</v>
      </c>
      <c r="M4730" s="46"/>
      <c r="P4730" s="16"/>
    </row>
    <row r="4731" spans="5:16" hidden="1" x14ac:dyDescent="0.25">
      <c r="E4731" s="43">
        <f>COUNTIF($O$7:O4731,FORMULARIO!$AA$2)</f>
        <v>1</v>
      </c>
      <c r="M4731" s="46"/>
      <c r="P4731" s="16"/>
    </row>
    <row r="4732" spans="5:16" hidden="1" x14ac:dyDescent="0.25">
      <c r="E4732" s="43">
        <f>COUNTIF($O$7:O4732,FORMULARIO!$AA$2)</f>
        <v>1</v>
      </c>
      <c r="M4732" s="46"/>
      <c r="P4732" s="16"/>
    </row>
    <row r="4733" spans="5:16" hidden="1" x14ac:dyDescent="0.25">
      <c r="E4733" s="43">
        <f>COUNTIF($O$7:O4733,FORMULARIO!$AA$2)</f>
        <v>1</v>
      </c>
      <c r="M4733" s="46"/>
      <c r="P4733" s="16"/>
    </row>
    <row r="4734" spans="5:16" hidden="1" x14ac:dyDescent="0.25">
      <c r="E4734" s="43">
        <f>COUNTIF($O$7:O4734,FORMULARIO!$AA$2)</f>
        <v>1</v>
      </c>
      <c r="M4734" s="46"/>
      <c r="P4734" s="16"/>
    </row>
    <row r="4735" spans="5:16" hidden="1" x14ac:dyDescent="0.25">
      <c r="E4735" s="43">
        <f>COUNTIF($O$7:O4735,FORMULARIO!$AA$2)</f>
        <v>1</v>
      </c>
      <c r="M4735" s="46"/>
      <c r="P4735" s="16"/>
    </row>
    <row r="4736" spans="5:16" hidden="1" x14ac:dyDescent="0.25">
      <c r="E4736" s="43">
        <f>COUNTIF($O$7:O4736,FORMULARIO!$AA$2)</f>
        <v>1</v>
      </c>
      <c r="M4736" s="46"/>
      <c r="P4736" s="16"/>
    </row>
    <row r="4737" spans="5:16" hidden="1" x14ac:dyDescent="0.25">
      <c r="E4737" s="43">
        <f>COUNTIF($O$7:O4737,FORMULARIO!$AA$2)</f>
        <v>1</v>
      </c>
      <c r="M4737" s="46"/>
      <c r="P4737" s="16"/>
    </row>
    <row r="4738" spans="5:16" hidden="1" x14ac:dyDescent="0.25">
      <c r="E4738" s="43">
        <f>COUNTIF($O$7:O4738,FORMULARIO!$AA$2)</f>
        <v>1</v>
      </c>
      <c r="M4738" s="46"/>
      <c r="P4738" s="16"/>
    </row>
    <row r="4739" spans="5:16" hidden="1" x14ac:dyDescent="0.25">
      <c r="E4739" s="43">
        <f>COUNTIF($O$7:O4739,FORMULARIO!$AA$2)</f>
        <v>1</v>
      </c>
      <c r="M4739" s="46"/>
      <c r="P4739" s="16"/>
    </row>
    <row r="4740" spans="5:16" hidden="1" x14ac:dyDescent="0.25">
      <c r="E4740" s="43">
        <f>COUNTIF($O$7:O4740,FORMULARIO!$AA$2)</f>
        <v>1</v>
      </c>
      <c r="M4740" s="46"/>
      <c r="P4740" s="16"/>
    </row>
    <row r="4741" spans="5:16" hidden="1" x14ac:dyDescent="0.25">
      <c r="E4741" s="43">
        <f>COUNTIF($O$7:O4741,FORMULARIO!$AA$2)</f>
        <v>1</v>
      </c>
      <c r="M4741" s="46"/>
      <c r="P4741" s="16"/>
    </row>
    <row r="4742" spans="5:16" hidden="1" x14ac:dyDescent="0.25">
      <c r="E4742" s="43">
        <f>COUNTIF($O$7:O4742,FORMULARIO!$AA$2)</f>
        <v>1</v>
      </c>
      <c r="M4742" s="46"/>
      <c r="P4742" s="16"/>
    </row>
    <row r="4743" spans="5:16" hidden="1" x14ac:dyDescent="0.25">
      <c r="E4743" s="43">
        <f>COUNTIF($O$7:O4743,FORMULARIO!$AA$2)</f>
        <v>1</v>
      </c>
      <c r="M4743" s="46"/>
      <c r="P4743" s="16"/>
    </row>
    <row r="4744" spans="5:16" hidden="1" x14ac:dyDescent="0.25">
      <c r="E4744" s="43">
        <f>COUNTIF($O$7:O4744,FORMULARIO!$AA$2)</f>
        <v>1</v>
      </c>
      <c r="M4744" s="46"/>
      <c r="P4744" s="16"/>
    </row>
    <row r="4745" spans="5:16" hidden="1" x14ac:dyDescent="0.25">
      <c r="E4745" s="43">
        <f>COUNTIF($O$7:O4745,FORMULARIO!$AA$2)</f>
        <v>1</v>
      </c>
      <c r="M4745" s="46"/>
      <c r="P4745" s="16"/>
    </row>
    <row r="4746" spans="5:16" hidden="1" x14ac:dyDescent="0.25">
      <c r="E4746" s="43">
        <f>COUNTIF($O$7:O4746,FORMULARIO!$AA$2)</f>
        <v>1</v>
      </c>
      <c r="M4746" s="46"/>
      <c r="P4746" s="16"/>
    </row>
    <row r="4747" spans="5:16" hidden="1" x14ac:dyDescent="0.25">
      <c r="E4747" s="43">
        <f>COUNTIF($O$7:O4747,FORMULARIO!$AA$2)</f>
        <v>1</v>
      </c>
      <c r="M4747" s="46"/>
      <c r="P4747" s="16"/>
    </row>
    <row r="4748" spans="5:16" hidden="1" x14ac:dyDescent="0.25">
      <c r="E4748" s="43">
        <f>COUNTIF($O$7:O4748,FORMULARIO!$AA$2)</f>
        <v>1</v>
      </c>
      <c r="M4748" s="46"/>
      <c r="P4748" s="16"/>
    </row>
    <row r="4749" spans="5:16" hidden="1" x14ac:dyDescent="0.25">
      <c r="E4749" s="43">
        <f>COUNTIF($O$7:O4749,FORMULARIO!$AA$2)</f>
        <v>1</v>
      </c>
      <c r="M4749" s="46"/>
      <c r="P4749" s="16"/>
    </row>
    <row r="4750" spans="5:16" hidden="1" x14ac:dyDescent="0.25">
      <c r="E4750" s="43">
        <f>COUNTIF($O$7:O4750,FORMULARIO!$AA$2)</f>
        <v>1</v>
      </c>
      <c r="M4750" s="46"/>
      <c r="P4750" s="16"/>
    </row>
    <row r="4751" spans="5:16" hidden="1" x14ac:dyDescent="0.25">
      <c r="E4751" s="43">
        <f>COUNTIF($O$7:O4751,FORMULARIO!$AA$2)</f>
        <v>1</v>
      </c>
      <c r="M4751" s="46"/>
      <c r="P4751" s="16"/>
    </row>
    <row r="4752" spans="5:16" hidden="1" x14ac:dyDescent="0.25">
      <c r="E4752" s="43">
        <f>COUNTIF($O$7:O4752,FORMULARIO!$AA$2)</f>
        <v>1</v>
      </c>
      <c r="M4752" s="46"/>
      <c r="P4752" s="16"/>
    </row>
    <row r="4753" spans="5:16" hidden="1" x14ac:dyDescent="0.25">
      <c r="E4753" s="43">
        <f>COUNTIF($O$7:O4753,FORMULARIO!$AA$2)</f>
        <v>1</v>
      </c>
      <c r="M4753" s="46"/>
      <c r="P4753" s="16"/>
    </row>
    <row r="4754" spans="5:16" hidden="1" x14ac:dyDescent="0.25">
      <c r="E4754" s="43">
        <f>COUNTIF($O$7:O4754,FORMULARIO!$AA$2)</f>
        <v>1</v>
      </c>
      <c r="M4754" s="46"/>
      <c r="P4754" s="16"/>
    </row>
    <row r="4755" spans="5:16" hidden="1" x14ac:dyDescent="0.25">
      <c r="E4755" s="43">
        <f>COUNTIF($O$7:O4755,FORMULARIO!$AA$2)</f>
        <v>1</v>
      </c>
      <c r="M4755" s="46"/>
      <c r="P4755" s="16"/>
    </row>
    <row r="4756" spans="5:16" hidden="1" x14ac:dyDescent="0.25">
      <c r="E4756" s="43">
        <f>COUNTIF($O$7:O4756,FORMULARIO!$AA$2)</f>
        <v>1</v>
      </c>
      <c r="M4756" s="46"/>
      <c r="P4756" s="16"/>
    </row>
    <row r="4757" spans="5:16" hidden="1" x14ac:dyDescent="0.25">
      <c r="E4757" s="43">
        <f>COUNTIF($O$7:O4757,FORMULARIO!$AA$2)</f>
        <v>1</v>
      </c>
      <c r="M4757" s="46"/>
      <c r="P4757" s="16"/>
    </row>
    <row r="4758" spans="5:16" hidden="1" x14ac:dyDescent="0.25">
      <c r="E4758" s="43">
        <f>COUNTIF($O$7:O4758,FORMULARIO!$AA$2)</f>
        <v>1</v>
      </c>
      <c r="M4758" s="46"/>
      <c r="P4758" s="16"/>
    </row>
    <row r="4759" spans="5:16" hidden="1" x14ac:dyDescent="0.25">
      <c r="E4759" s="43">
        <f>COUNTIF($O$7:O4759,FORMULARIO!$AA$2)</f>
        <v>1</v>
      </c>
      <c r="M4759" s="46"/>
      <c r="P4759" s="16"/>
    </row>
    <row r="4760" spans="5:16" hidden="1" x14ac:dyDescent="0.25">
      <c r="E4760" s="43">
        <f>COUNTIF($O$7:O4760,FORMULARIO!$AA$2)</f>
        <v>1</v>
      </c>
      <c r="M4760" s="46"/>
      <c r="P4760" s="16"/>
    </row>
    <row r="4761" spans="5:16" hidden="1" x14ac:dyDescent="0.25">
      <c r="E4761" s="43">
        <f>COUNTIF($O$7:O4761,FORMULARIO!$AA$2)</f>
        <v>1</v>
      </c>
      <c r="M4761" s="46"/>
      <c r="P4761" s="16"/>
    </row>
    <row r="4762" spans="5:16" hidden="1" x14ac:dyDescent="0.25">
      <c r="E4762" s="43">
        <f>COUNTIF($O$7:O4762,FORMULARIO!$AA$2)</f>
        <v>1</v>
      </c>
      <c r="M4762" s="46"/>
      <c r="P4762" s="16"/>
    </row>
    <row r="4763" spans="5:16" hidden="1" x14ac:dyDescent="0.25">
      <c r="E4763" s="43">
        <f>COUNTIF($O$7:O4763,FORMULARIO!$AA$2)</f>
        <v>1</v>
      </c>
      <c r="M4763" s="46"/>
      <c r="P4763" s="16"/>
    </row>
    <row r="4764" spans="5:16" hidden="1" x14ac:dyDescent="0.25">
      <c r="E4764" s="43">
        <f>COUNTIF($O$7:O4764,FORMULARIO!$AA$2)</f>
        <v>1</v>
      </c>
      <c r="M4764" s="46"/>
      <c r="P4764" s="16"/>
    </row>
    <row r="4765" spans="5:16" hidden="1" x14ac:dyDescent="0.25">
      <c r="E4765" s="43">
        <f>COUNTIF($O$7:O4765,FORMULARIO!$AA$2)</f>
        <v>1</v>
      </c>
      <c r="M4765" s="46"/>
      <c r="P4765" s="16"/>
    </row>
    <row r="4766" spans="5:16" hidden="1" x14ac:dyDescent="0.25">
      <c r="E4766" s="43">
        <f>COUNTIF($O$7:O4766,FORMULARIO!$AA$2)</f>
        <v>1</v>
      </c>
      <c r="M4766" s="46"/>
      <c r="P4766" s="16"/>
    </row>
    <row r="4767" spans="5:16" hidden="1" x14ac:dyDescent="0.25">
      <c r="E4767" s="43">
        <f>COUNTIF($O$7:O4767,FORMULARIO!$AA$2)</f>
        <v>1</v>
      </c>
      <c r="M4767" s="46"/>
      <c r="P4767" s="16"/>
    </row>
    <row r="4768" spans="5:16" hidden="1" x14ac:dyDescent="0.25">
      <c r="E4768" s="43">
        <f>COUNTIF($O$7:O4768,FORMULARIO!$AA$2)</f>
        <v>1</v>
      </c>
      <c r="M4768" s="46"/>
      <c r="P4768" s="16"/>
    </row>
    <row r="4769" spans="5:16" hidden="1" x14ac:dyDescent="0.25">
      <c r="E4769" s="43">
        <f>COUNTIF($O$7:O4769,FORMULARIO!$AA$2)</f>
        <v>1</v>
      </c>
      <c r="M4769" s="46"/>
      <c r="P4769" s="16"/>
    </row>
    <row r="4770" spans="5:16" hidden="1" x14ac:dyDescent="0.25">
      <c r="E4770" s="43">
        <f>COUNTIF($O$7:O4770,FORMULARIO!$AA$2)</f>
        <v>1</v>
      </c>
      <c r="M4770" s="46"/>
      <c r="P4770" s="16"/>
    </row>
    <row r="4771" spans="5:16" hidden="1" x14ac:dyDescent="0.25">
      <c r="E4771" s="43">
        <f>COUNTIF($O$7:O4771,FORMULARIO!$AA$2)</f>
        <v>1</v>
      </c>
      <c r="M4771" s="46"/>
      <c r="P4771" s="16"/>
    </row>
    <row r="4772" spans="5:16" hidden="1" x14ac:dyDescent="0.25">
      <c r="E4772" s="43">
        <f>COUNTIF($O$7:O4772,FORMULARIO!$AA$2)</f>
        <v>1</v>
      </c>
      <c r="M4772" s="46"/>
      <c r="P4772" s="16"/>
    </row>
    <row r="4773" spans="5:16" hidden="1" x14ac:dyDescent="0.25">
      <c r="E4773" s="43">
        <f>COUNTIF($O$7:O4773,FORMULARIO!$AA$2)</f>
        <v>1</v>
      </c>
      <c r="M4773" s="46"/>
      <c r="P4773" s="16"/>
    </row>
    <row r="4774" spans="5:16" hidden="1" x14ac:dyDescent="0.25">
      <c r="E4774" s="43">
        <f>COUNTIF($O$7:O4774,FORMULARIO!$AA$2)</f>
        <v>1</v>
      </c>
      <c r="M4774" s="46"/>
      <c r="P4774" s="16"/>
    </row>
    <row r="4775" spans="5:16" hidden="1" x14ac:dyDescent="0.25">
      <c r="E4775" s="43">
        <f>COUNTIF($O$7:O4775,FORMULARIO!$AA$2)</f>
        <v>1</v>
      </c>
      <c r="M4775" s="46"/>
      <c r="P4775" s="16"/>
    </row>
    <row r="4776" spans="5:16" hidden="1" x14ac:dyDescent="0.25">
      <c r="E4776" s="43">
        <f>COUNTIF($O$7:O4776,FORMULARIO!$AA$2)</f>
        <v>1</v>
      </c>
      <c r="M4776" s="46"/>
      <c r="P4776" s="16"/>
    </row>
    <row r="4777" spans="5:16" hidden="1" x14ac:dyDescent="0.25">
      <c r="E4777" s="43">
        <f>COUNTIF($O$7:O4777,FORMULARIO!$AA$2)</f>
        <v>1</v>
      </c>
      <c r="M4777" s="46"/>
      <c r="P4777" s="16"/>
    </row>
    <row r="4778" spans="5:16" hidden="1" x14ac:dyDescent="0.25">
      <c r="E4778" s="43">
        <f>COUNTIF($O$7:O4778,FORMULARIO!$AA$2)</f>
        <v>1</v>
      </c>
      <c r="M4778" s="46"/>
      <c r="P4778" s="16"/>
    </row>
    <row r="4779" spans="5:16" hidden="1" x14ac:dyDescent="0.25">
      <c r="E4779" s="43">
        <f>COUNTIF($O$7:O4779,FORMULARIO!$AA$2)</f>
        <v>1</v>
      </c>
      <c r="M4779" s="46"/>
      <c r="P4779" s="16"/>
    </row>
    <row r="4780" spans="5:16" hidden="1" x14ac:dyDescent="0.25">
      <c r="E4780" s="43">
        <f>COUNTIF($O$7:O4780,FORMULARIO!$AA$2)</f>
        <v>1</v>
      </c>
      <c r="M4780" s="46"/>
      <c r="P4780" s="16"/>
    </row>
    <row r="4781" spans="5:16" hidden="1" x14ac:dyDescent="0.25">
      <c r="E4781" s="43">
        <f>COUNTIF($O$7:O4781,FORMULARIO!$AA$2)</f>
        <v>1</v>
      </c>
      <c r="M4781" s="46"/>
      <c r="P4781" s="16"/>
    </row>
    <row r="4782" spans="5:16" hidden="1" x14ac:dyDescent="0.25">
      <c r="E4782" s="43">
        <f>COUNTIF($O$7:O4782,FORMULARIO!$AA$2)</f>
        <v>1</v>
      </c>
      <c r="M4782" s="46"/>
      <c r="P4782" s="16"/>
    </row>
    <row r="4783" spans="5:16" hidden="1" x14ac:dyDescent="0.25">
      <c r="E4783" s="43">
        <f>COUNTIF($O$7:O4783,FORMULARIO!$AA$2)</f>
        <v>1</v>
      </c>
      <c r="M4783" s="46"/>
      <c r="P4783" s="16"/>
    </row>
    <row r="4784" spans="5:16" hidden="1" x14ac:dyDescent="0.25">
      <c r="E4784" s="43">
        <f>COUNTIF($O$7:O4784,FORMULARIO!$AA$2)</f>
        <v>1</v>
      </c>
      <c r="M4784" s="46"/>
      <c r="P4784" s="16"/>
    </row>
    <row r="4785" spans="5:16" hidden="1" x14ac:dyDescent="0.25">
      <c r="E4785" s="43">
        <f>COUNTIF($O$7:O4785,FORMULARIO!$AA$2)</f>
        <v>1</v>
      </c>
      <c r="M4785" s="46"/>
      <c r="P4785" s="16"/>
    </row>
    <row r="4786" spans="5:16" hidden="1" x14ac:dyDescent="0.25">
      <c r="E4786" s="43">
        <f>COUNTIF($O$7:O4786,FORMULARIO!$AA$2)</f>
        <v>1</v>
      </c>
      <c r="M4786" s="46"/>
      <c r="P4786" s="16"/>
    </row>
    <row r="4787" spans="5:16" hidden="1" x14ac:dyDescent="0.25">
      <c r="E4787" s="43">
        <f>COUNTIF($O$7:O4787,FORMULARIO!$AA$2)</f>
        <v>1</v>
      </c>
      <c r="M4787" s="46"/>
      <c r="P4787" s="16"/>
    </row>
    <row r="4788" spans="5:16" hidden="1" x14ac:dyDescent="0.25">
      <c r="E4788" s="43">
        <f>COUNTIF($O$7:O4788,FORMULARIO!$AA$2)</f>
        <v>1</v>
      </c>
      <c r="M4788" s="46"/>
      <c r="P4788" s="16"/>
    </row>
    <row r="4789" spans="5:16" hidden="1" x14ac:dyDescent="0.25">
      <c r="E4789" s="43">
        <f>COUNTIF($O$7:O4789,FORMULARIO!$AA$2)</f>
        <v>1</v>
      </c>
      <c r="M4789" s="46"/>
      <c r="P4789" s="16"/>
    </row>
    <row r="4790" spans="5:16" hidden="1" x14ac:dyDescent="0.25">
      <c r="E4790" s="43">
        <f>COUNTIF($O$7:O4790,FORMULARIO!$AA$2)</f>
        <v>1</v>
      </c>
      <c r="M4790" s="46"/>
      <c r="P4790" s="16"/>
    </row>
    <row r="4791" spans="5:16" hidden="1" x14ac:dyDescent="0.25">
      <c r="E4791" s="43">
        <f>COUNTIF($O$7:O4791,FORMULARIO!$AA$2)</f>
        <v>1</v>
      </c>
      <c r="M4791" s="46"/>
      <c r="P4791" s="16"/>
    </row>
    <row r="4792" spans="5:16" hidden="1" x14ac:dyDescent="0.25">
      <c r="E4792" s="43">
        <f>COUNTIF($O$7:O4792,FORMULARIO!$AA$2)</f>
        <v>1</v>
      </c>
      <c r="M4792" s="46"/>
      <c r="P4792" s="16"/>
    </row>
    <row r="4793" spans="5:16" hidden="1" x14ac:dyDescent="0.25">
      <c r="E4793" s="43">
        <f>COUNTIF($O$7:O4793,FORMULARIO!$AA$2)</f>
        <v>1</v>
      </c>
      <c r="M4793" s="46"/>
      <c r="P4793" s="16"/>
    </row>
    <row r="4794" spans="5:16" hidden="1" x14ac:dyDescent="0.25">
      <c r="E4794" s="43">
        <f>COUNTIF($O$7:O4794,FORMULARIO!$AA$2)</f>
        <v>1</v>
      </c>
      <c r="M4794" s="46"/>
      <c r="P4794" s="16"/>
    </row>
    <row r="4795" spans="5:16" hidden="1" x14ac:dyDescent="0.25">
      <c r="E4795" s="43">
        <f>COUNTIF($O$7:O4795,FORMULARIO!$AA$2)</f>
        <v>1</v>
      </c>
      <c r="M4795" s="46"/>
      <c r="P4795" s="16"/>
    </row>
    <row r="4796" spans="5:16" hidden="1" x14ac:dyDescent="0.25">
      <c r="E4796" s="43">
        <f>COUNTIF($O$7:O4796,FORMULARIO!$AA$2)</f>
        <v>1</v>
      </c>
      <c r="M4796" s="46"/>
      <c r="P4796" s="16"/>
    </row>
    <row r="4797" spans="5:16" hidden="1" x14ac:dyDescent="0.25">
      <c r="E4797" s="43">
        <f>COUNTIF($O$7:O4797,FORMULARIO!$AA$2)</f>
        <v>1</v>
      </c>
      <c r="M4797" s="46"/>
      <c r="P4797" s="16"/>
    </row>
    <row r="4798" spans="5:16" hidden="1" x14ac:dyDescent="0.25">
      <c r="E4798" s="43">
        <f>COUNTIF($O$7:O4798,FORMULARIO!$AA$2)</f>
        <v>1</v>
      </c>
      <c r="M4798" s="46"/>
      <c r="P4798" s="16"/>
    </row>
    <row r="4799" spans="5:16" hidden="1" x14ac:dyDescent="0.25">
      <c r="E4799" s="43">
        <f>COUNTIF($O$7:O4799,FORMULARIO!$AA$2)</f>
        <v>1</v>
      </c>
      <c r="M4799" s="46"/>
      <c r="P4799" s="16"/>
    </row>
    <row r="4800" spans="5:16" hidden="1" x14ac:dyDescent="0.25">
      <c r="E4800" s="43">
        <f>COUNTIF($O$7:O4800,FORMULARIO!$AA$2)</f>
        <v>1</v>
      </c>
      <c r="M4800" s="46"/>
      <c r="P4800" s="16"/>
    </row>
    <row r="4801" spans="5:16" hidden="1" x14ac:dyDescent="0.25">
      <c r="E4801" s="43">
        <f>COUNTIF($O$7:O4801,FORMULARIO!$AA$2)</f>
        <v>1</v>
      </c>
      <c r="M4801" s="46"/>
      <c r="P4801" s="16"/>
    </row>
    <row r="4802" spans="5:16" hidden="1" x14ac:dyDescent="0.25">
      <c r="E4802" s="43">
        <f>COUNTIF($O$7:O4802,FORMULARIO!$AA$2)</f>
        <v>1</v>
      </c>
      <c r="M4802" s="46"/>
      <c r="P4802" s="16"/>
    </row>
    <row r="4803" spans="5:16" hidden="1" x14ac:dyDescent="0.25">
      <c r="E4803" s="43">
        <f>COUNTIF($O$7:O4803,FORMULARIO!$AA$2)</f>
        <v>1</v>
      </c>
      <c r="M4803" s="46"/>
      <c r="P4803" s="16"/>
    </row>
    <row r="4804" spans="5:16" hidden="1" x14ac:dyDescent="0.25">
      <c r="E4804" s="43">
        <f>COUNTIF($O$7:O4804,FORMULARIO!$AA$2)</f>
        <v>1</v>
      </c>
      <c r="M4804" s="46"/>
      <c r="P4804" s="16"/>
    </row>
    <row r="4805" spans="5:16" hidden="1" x14ac:dyDescent="0.25">
      <c r="E4805" s="43">
        <f>COUNTIF($O$7:O4805,FORMULARIO!$AA$2)</f>
        <v>1</v>
      </c>
      <c r="M4805" s="46"/>
      <c r="P4805" s="16"/>
    </row>
    <row r="4806" spans="5:16" hidden="1" x14ac:dyDescent="0.25">
      <c r="E4806" s="43">
        <f>COUNTIF($O$7:O4806,FORMULARIO!$AA$2)</f>
        <v>1</v>
      </c>
      <c r="M4806" s="46"/>
      <c r="P4806" s="16"/>
    </row>
    <row r="4807" spans="5:16" hidden="1" x14ac:dyDescent="0.25">
      <c r="E4807" s="43">
        <f>COUNTIF($O$7:O4807,FORMULARIO!$AA$2)</f>
        <v>1</v>
      </c>
      <c r="M4807" s="46"/>
      <c r="P4807" s="16"/>
    </row>
    <row r="4808" spans="5:16" hidden="1" x14ac:dyDescent="0.25">
      <c r="E4808" s="43">
        <f>COUNTIF($O$7:O4808,FORMULARIO!$AA$2)</f>
        <v>1</v>
      </c>
      <c r="M4808" s="46"/>
      <c r="P4808" s="16"/>
    </row>
    <row r="4809" spans="5:16" hidden="1" x14ac:dyDescent="0.25">
      <c r="E4809" s="43">
        <f>COUNTIF($O$7:O4809,FORMULARIO!$AA$2)</f>
        <v>1</v>
      </c>
      <c r="M4809" s="46"/>
      <c r="P4809" s="16"/>
    </row>
    <row r="4810" spans="5:16" hidden="1" x14ac:dyDescent="0.25">
      <c r="E4810" s="43">
        <f>COUNTIF($O$7:O4810,FORMULARIO!$AA$2)</f>
        <v>1</v>
      </c>
      <c r="M4810" s="46"/>
      <c r="P4810" s="16"/>
    </row>
    <row r="4811" spans="5:16" hidden="1" x14ac:dyDescent="0.25">
      <c r="E4811" s="43">
        <f>COUNTIF($O$7:O4811,FORMULARIO!$AA$2)</f>
        <v>1</v>
      </c>
      <c r="M4811" s="46"/>
      <c r="P4811" s="16"/>
    </row>
    <row r="4812" spans="5:16" hidden="1" x14ac:dyDescent="0.25">
      <c r="E4812" s="43">
        <f>COUNTIF($O$7:O4812,FORMULARIO!$AA$2)</f>
        <v>1</v>
      </c>
      <c r="M4812" s="46"/>
      <c r="P4812" s="16"/>
    </row>
    <row r="4813" spans="5:16" hidden="1" x14ac:dyDescent="0.25">
      <c r="E4813" s="43">
        <f>COUNTIF($O$7:O4813,FORMULARIO!$AA$2)</f>
        <v>1</v>
      </c>
      <c r="M4813" s="46"/>
      <c r="P4813" s="16"/>
    </row>
    <row r="4814" spans="5:16" hidden="1" x14ac:dyDescent="0.25">
      <c r="E4814" s="43">
        <f>COUNTIF($O$7:O4814,FORMULARIO!$AA$2)</f>
        <v>1</v>
      </c>
      <c r="M4814" s="46"/>
      <c r="P4814" s="16"/>
    </row>
    <row r="4815" spans="5:16" hidden="1" x14ac:dyDescent="0.25">
      <c r="E4815" s="43">
        <f>COUNTIF($O$7:O4815,FORMULARIO!$AA$2)</f>
        <v>1</v>
      </c>
      <c r="M4815" s="46"/>
      <c r="P4815" s="16"/>
    </row>
    <row r="4816" spans="5:16" hidden="1" x14ac:dyDescent="0.25">
      <c r="E4816" s="43">
        <f>COUNTIF($O$7:O4816,FORMULARIO!$AA$2)</f>
        <v>1</v>
      </c>
      <c r="M4816" s="46"/>
      <c r="P4816" s="16"/>
    </row>
    <row r="4817" spans="5:16" hidden="1" x14ac:dyDescent="0.25">
      <c r="E4817" s="43">
        <f>COUNTIF($O$7:O4817,FORMULARIO!$AA$2)</f>
        <v>1</v>
      </c>
      <c r="M4817" s="46"/>
      <c r="P4817" s="16"/>
    </row>
    <row r="4818" spans="5:16" hidden="1" x14ac:dyDescent="0.25">
      <c r="E4818" s="43">
        <f>COUNTIF($O$7:O4818,FORMULARIO!$AA$2)</f>
        <v>1</v>
      </c>
      <c r="M4818" s="46"/>
      <c r="P4818" s="16"/>
    </row>
    <row r="4819" spans="5:16" hidden="1" x14ac:dyDescent="0.25">
      <c r="E4819" s="43">
        <f>COUNTIF($O$7:O4819,FORMULARIO!$AA$2)</f>
        <v>1</v>
      </c>
      <c r="M4819" s="46"/>
      <c r="P4819" s="16"/>
    </row>
    <row r="4820" spans="5:16" hidden="1" x14ac:dyDescent="0.25">
      <c r="E4820" s="43">
        <f>COUNTIF($O$7:O4820,FORMULARIO!$AA$2)</f>
        <v>1</v>
      </c>
      <c r="M4820" s="46"/>
      <c r="P4820" s="16"/>
    </row>
    <row r="4821" spans="5:16" hidden="1" x14ac:dyDescent="0.25">
      <c r="E4821" s="43">
        <f>COUNTIF($O$7:O4821,FORMULARIO!$AA$2)</f>
        <v>1</v>
      </c>
      <c r="M4821" s="46"/>
      <c r="P4821" s="16"/>
    </row>
    <row r="4822" spans="5:16" hidden="1" x14ac:dyDescent="0.25">
      <c r="E4822" s="43">
        <f>COUNTIF($O$7:O4822,FORMULARIO!$AA$2)</f>
        <v>1</v>
      </c>
      <c r="M4822" s="46"/>
      <c r="P4822" s="16"/>
    </row>
    <row r="4823" spans="5:16" hidden="1" x14ac:dyDescent="0.25">
      <c r="E4823" s="43">
        <f>COUNTIF($O$7:O4823,FORMULARIO!$AA$2)</f>
        <v>1</v>
      </c>
      <c r="M4823" s="46"/>
      <c r="P4823" s="16"/>
    </row>
    <row r="4824" spans="5:16" hidden="1" x14ac:dyDescent="0.25">
      <c r="E4824" s="43">
        <f>COUNTIF($O$7:O4824,FORMULARIO!$AA$2)</f>
        <v>1</v>
      </c>
      <c r="M4824" s="46"/>
      <c r="P4824" s="16"/>
    </row>
    <row r="4825" spans="5:16" hidden="1" x14ac:dyDescent="0.25">
      <c r="E4825" s="43">
        <f>COUNTIF($O$7:O4825,FORMULARIO!$AA$2)</f>
        <v>1</v>
      </c>
      <c r="M4825" s="46"/>
      <c r="P4825" s="16"/>
    </row>
    <row r="4826" spans="5:16" hidden="1" x14ac:dyDescent="0.25">
      <c r="E4826" s="43">
        <f>COUNTIF($O$7:O4826,FORMULARIO!$AA$2)</f>
        <v>1</v>
      </c>
      <c r="M4826" s="46"/>
      <c r="P4826" s="16"/>
    </row>
    <row r="4827" spans="5:16" hidden="1" x14ac:dyDescent="0.25">
      <c r="E4827" s="43">
        <f>COUNTIF($O$7:O4827,FORMULARIO!$AA$2)</f>
        <v>1</v>
      </c>
      <c r="M4827" s="46"/>
      <c r="P4827" s="16"/>
    </row>
    <row r="4828" spans="5:16" hidden="1" x14ac:dyDescent="0.25">
      <c r="E4828" s="43">
        <f>COUNTIF($O$7:O4828,FORMULARIO!$AA$2)</f>
        <v>1</v>
      </c>
      <c r="M4828" s="46"/>
      <c r="P4828" s="16"/>
    </row>
    <row r="4829" spans="5:16" hidden="1" x14ac:dyDescent="0.25">
      <c r="E4829" s="43">
        <f>COUNTIF($O$7:O4829,FORMULARIO!$AA$2)</f>
        <v>1</v>
      </c>
      <c r="M4829" s="46"/>
      <c r="P4829" s="16"/>
    </row>
    <row r="4830" spans="5:16" hidden="1" x14ac:dyDescent="0.25">
      <c r="E4830" s="43">
        <f>COUNTIF($O$7:O4830,FORMULARIO!$AA$2)</f>
        <v>1</v>
      </c>
      <c r="M4830" s="46"/>
      <c r="P4830" s="16"/>
    </row>
    <row r="4831" spans="5:16" hidden="1" x14ac:dyDescent="0.25">
      <c r="E4831" s="43">
        <f>COUNTIF($O$7:O4831,FORMULARIO!$AA$2)</f>
        <v>1</v>
      </c>
      <c r="M4831" s="46"/>
      <c r="P4831" s="16"/>
    </row>
    <row r="4832" spans="5:16" hidden="1" x14ac:dyDescent="0.25">
      <c r="E4832" s="43">
        <f>COUNTIF($O$7:O4832,FORMULARIO!$AA$2)</f>
        <v>1</v>
      </c>
      <c r="M4832" s="46"/>
      <c r="P4832" s="16"/>
    </row>
    <row r="4833" spans="5:16" hidden="1" x14ac:dyDescent="0.25">
      <c r="E4833" s="43">
        <f>COUNTIF($O$7:O4833,FORMULARIO!$AA$2)</f>
        <v>1</v>
      </c>
      <c r="M4833" s="46"/>
      <c r="P4833" s="16"/>
    </row>
    <row r="4834" spans="5:16" hidden="1" x14ac:dyDescent="0.25">
      <c r="E4834" s="43">
        <f>COUNTIF($O$7:O4834,FORMULARIO!$AA$2)</f>
        <v>1</v>
      </c>
      <c r="M4834" s="46"/>
      <c r="P4834" s="16"/>
    </row>
    <row r="4835" spans="5:16" hidden="1" x14ac:dyDescent="0.25">
      <c r="E4835" s="43">
        <f>COUNTIF($O$7:O4835,FORMULARIO!$AA$2)</f>
        <v>1</v>
      </c>
      <c r="M4835" s="46"/>
      <c r="P4835" s="16"/>
    </row>
    <row r="4836" spans="5:16" hidden="1" x14ac:dyDescent="0.25">
      <c r="E4836" s="43">
        <f>COUNTIF($O$7:O4836,FORMULARIO!$AA$2)</f>
        <v>1</v>
      </c>
      <c r="M4836" s="46"/>
      <c r="P4836" s="16"/>
    </row>
    <row r="4837" spans="5:16" hidden="1" x14ac:dyDescent="0.25">
      <c r="E4837" s="43">
        <f>COUNTIF($O$7:O4837,FORMULARIO!$AA$2)</f>
        <v>1</v>
      </c>
      <c r="M4837" s="46"/>
      <c r="P4837" s="16"/>
    </row>
    <row r="4838" spans="5:16" hidden="1" x14ac:dyDescent="0.25">
      <c r="E4838" s="43">
        <f>COUNTIF($O$7:O4838,FORMULARIO!$AA$2)</f>
        <v>1</v>
      </c>
      <c r="M4838" s="46"/>
      <c r="P4838" s="16"/>
    </row>
    <row r="4839" spans="5:16" hidden="1" x14ac:dyDescent="0.25">
      <c r="E4839" s="43">
        <f>COUNTIF($O$7:O4839,FORMULARIO!$AA$2)</f>
        <v>1</v>
      </c>
      <c r="M4839" s="46"/>
      <c r="P4839" s="16"/>
    </row>
    <row r="4840" spans="5:16" hidden="1" x14ac:dyDescent="0.25">
      <c r="E4840" s="43">
        <f>COUNTIF($O$7:O4840,FORMULARIO!$AA$2)</f>
        <v>1</v>
      </c>
      <c r="M4840" s="46"/>
      <c r="P4840" s="16"/>
    </row>
    <row r="4841" spans="5:16" hidden="1" x14ac:dyDescent="0.25">
      <c r="E4841" s="43">
        <f>COUNTIF($O$7:O4841,FORMULARIO!$AA$2)</f>
        <v>1</v>
      </c>
      <c r="M4841" s="46"/>
      <c r="P4841" s="16"/>
    </row>
    <row r="4842" spans="5:16" hidden="1" x14ac:dyDescent="0.25">
      <c r="E4842" s="43">
        <f>COUNTIF($O$7:O4842,FORMULARIO!$AA$2)</f>
        <v>1</v>
      </c>
      <c r="M4842" s="46"/>
      <c r="P4842" s="16"/>
    </row>
    <row r="4843" spans="5:16" hidden="1" x14ac:dyDescent="0.25">
      <c r="E4843" s="43">
        <f>COUNTIF($O$7:O4843,FORMULARIO!$AA$2)</f>
        <v>1</v>
      </c>
      <c r="M4843" s="46"/>
      <c r="P4843" s="16"/>
    </row>
    <row r="4844" spans="5:16" hidden="1" x14ac:dyDescent="0.25">
      <c r="E4844" s="43">
        <f>COUNTIF($O$7:O4844,FORMULARIO!$AA$2)</f>
        <v>1</v>
      </c>
      <c r="M4844" s="46"/>
      <c r="P4844" s="16"/>
    </row>
    <row r="4845" spans="5:16" hidden="1" x14ac:dyDescent="0.25">
      <c r="E4845" s="43">
        <f>COUNTIF($O$7:O4845,FORMULARIO!$AA$2)</f>
        <v>1</v>
      </c>
      <c r="M4845" s="46"/>
      <c r="P4845" s="16"/>
    </row>
    <row r="4846" spans="5:16" hidden="1" x14ac:dyDescent="0.25">
      <c r="E4846" s="43">
        <f>COUNTIF($O$7:O4846,FORMULARIO!$AA$2)</f>
        <v>1</v>
      </c>
      <c r="M4846" s="46"/>
      <c r="P4846" s="16"/>
    </row>
    <row r="4847" spans="5:16" hidden="1" x14ac:dyDescent="0.25">
      <c r="E4847" s="43">
        <f>COUNTIF($O$7:O4847,FORMULARIO!$AA$2)</f>
        <v>1</v>
      </c>
      <c r="M4847" s="46"/>
      <c r="P4847" s="16"/>
    </row>
    <row r="4848" spans="5:16" hidden="1" x14ac:dyDescent="0.25">
      <c r="E4848" s="43">
        <f>COUNTIF($O$7:O4848,FORMULARIO!$AA$2)</f>
        <v>1</v>
      </c>
      <c r="M4848" s="46"/>
      <c r="P4848" s="16"/>
    </row>
    <row r="4849" spans="5:16" hidden="1" x14ac:dyDescent="0.25">
      <c r="E4849" s="43">
        <f>COUNTIF($O$7:O4849,FORMULARIO!$AA$2)</f>
        <v>1</v>
      </c>
      <c r="M4849" s="46"/>
      <c r="P4849" s="16"/>
    </row>
    <row r="4850" spans="5:16" hidden="1" x14ac:dyDescent="0.25">
      <c r="E4850" s="43">
        <f>COUNTIF($O$7:O4850,FORMULARIO!$AA$2)</f>
        <v>1</v>
      </c>
      <c r="M4850" s="46"/>
      <c r="P4850" s="16"/>
    </row>
    <row r="4851" spans="5:16" hidden="1" x14ac:dyDescent="0.25">
      <c r="E4851" s="43">
        <f>COUNTIF($O$7:O4851,FORMULARIO!$AA$2)</f>
        <v>1</v>
      </c>
      <c r="M4851" s="46"/>
      <c r="P4851" s="16"/>
    </row>
    <row r="4852" spans="5:16" hidden="1" x14ac:dyDescent="0.25">
      <c r="E4852" s="43">
        <f>COUNTIF($O$7:O4852,FORMULARIO!$AA$2)</f>
        <v>1</v>
      </c>
      <c r="M4852" s="46"/>
      <c r="P4852" s="16"/>
    </row>
    <row r="4853" spans="5:16" hidden="1" x14ac:dyDescent="0.25">
      <c r="E4853" s="43">
        <f>COUNTIF($O$7:O4853,FORMULARIO!$AA$2)</f>
        <v>1</v>
      </c>
      <c r="M4853" s="46"/>
      <c r="P4853" s="16"/>
    </row>
    <row r="4854" spans="5:16" hidden="1" x14ac:dyDescent="0.25">
      <c r="E4854" s="43">
        <f>COUNTIF($O$7:O4854,FORMULARIO!$AA$2)</f>
        <v>1</v>
      </c>
      <c r="M4854" s="46"/>
      <c r="P4854" s="16"/>
    </row>
    <row r="4855" spans="5:16" hidden="1" x14ac:dyDescent="0.25">
      <c r="E4855" s="43">
        <f>COUNTIF($O$7:O4855,FORMULARIO!$AA$2)</f>
        <v>1</v>
      </c>
      <c r="M4855" s="46"/>
      <c r="P4855" s="16"/>
    </row>
    <row r="4856" spans="5:16" hidden="1" x14ac:dyDescent="0.25">
      <c r="E4856" s="43">
        <f>COUNTIF($O$7:O4856,FORMULARIO!$AA$2)</f>
        <v>1</v>
      </c>
      <c r="M4856" s="46"/>
      <c r="P4856" s="16"/>
    </row>
    <row r="4857" spans="5:16" hidden="1" x14ac:dyDescent="0.25">
      <c r="E4857" s="43">
        <f>COUNTIF($O$7:O4857,FORMULARIO!$AA$2)</f>
        <v>1</v>
      </c>
      <c r="M4857" s="46"/>
      <c r="P4857" s="16"/>
    </row>
    <row r="4858" spans="5:16" hidden="1" x14ac:dyDescent="0.25">
      <c r="E4858" s="43">
        <f>COUNTIF($O$7:O4858,FORMULARIO!$AA$2)</f>
        <v>1</v>
      </c>
      <c r="M4858" s="46"/>
      <c r="P4858" s="16"/>
    </row>
    <row r="4859" spans="5:16" hidden="1" x14ac:dyDescent="0.25">
      <c r="E4859" s="43">
        <f>COUNTIF($O$7:O4859,FORMULARIO!$AA$2)</f>
        <v>1</v>
      </c>
      <c r="M4859" s="46"/>
      <c r="P4859" s="16"/>
    </row>
    <row r="4860" spans="5:16" hidden="1" x14ac:dyDescent="0.25">
      <c r="E4860" s="43">
        <f>COUNTIF($O$7:O4860,FORMULARIO!$AA$2)</f>
        <v>1</v>
      </c>
      <c r="M4860" s="46"/>
      <c r="P4860" s="16"/>
    </row>
    <row r="4861" spans="5:16" hidden="1" x14ac:dyDescent="0.25">
      <c r="E4861" s="43">
        <f>COUNTIF($O$7:O4861,FORMULARIO!$AA$2)</f>
        <v>1</v>
      </c>
      <c r="M4861" s="46"/>
      <c r="P4861" s="16"/>
    </row>
    <row r="4862" spans="5:16" hidden="1" x14ac:dyDescent="0.25">
      <c r="E4862" s="43">
        <f>COUNTIF($O$7:O4862,FORMULARIO!$AA$2)</f>
        <v>1</v>
      </c>
      <c r="M4862" s="46"/>
      <c r="P4862" s="16"/>
    </row>
    <row r="4863" spans="5:16" hidden="1" x14ac:dyDescent="0.25">
      <c r="E4863" s="43">
        <f>COUNTIF($O$7:O4863,FORMULARIO!$AA$2)</f>
        <v>1</v>
      </c>
      <c r="M4863" s="46"/>
      <c r="P4863" s="16"/>
    </row>
    <row r="4864" spans="5:16" hidden="1" x14ac:dyDescent="0.25">
      <c r="E4864" s="43">
        <f>COUNTIF($O$7:O4864,FORMULARIO!$AA$2)</f>
        <v>1</v>
      </c>
      <c r="M4864" s="46"/>
      <c r="P4864" s="16"/>
    </row>
    <row r="4865" spans="5:16" hidden="1" x14ac:dyDescent="0.25">
      <c r="E4865" s="43">
        <f>COUNTIF($O$7:O4865,FORMULARIO!$AA$2)</f>
        <v>1</v>
      </c>
      <c r="M4865" s="46"/>
      <c r="P4865" s="16"/>
    </row>
    <row r="4866" spans="5:16" hidden="1" x14ac:dyDescent="0.25">
      <c r="E4866" s="43">
        <f>COUNTIF($O$7:O4866,FORMULARIO!$AA$2)</f>
        <v>1</v>
      </c>
      <c r="M4866" s="46"/>
      <c r="P4866" s="16"/>
    </row>
    <row r="4867" spans="5:16" hidden="1" x14ac:dyDescent="0.25">
      <c r="E4867" s="43">
        <f>COUNTIF($O$7:O4867,FORMULARIO!$AA$2)</f>
        <v>1</v>
      </c>
      <c r="M4867" s="46"/>
      <c r="P4867" s="16"/>
    </row>
    <row r="4868" spans="5:16" hidden="1" x14ac:dyDescent="0.25">
      <c r="E4868" s="43">
        <f>COUNTIF($O$7:O4868,FORMULARIO!$AA$2)</f>
        <v>1</v>
      </c>
      <c r="M4868" s="46"/>
      <c r="P4868" s="16"/>
    </row>
    <row r="4869" spans="5:16" hidden="1" x14ac:dyDescent="0.25">
      <c r="E4869" s="43">
        <f>COUNTIF($O$7:O4869,FORMULARIO!$AA$2)</f>
        <v>1</v>
      </c>
      <c r="M4869" s="46"/>
      <c r="P4869" s="16"/>
    </row>
    <row r="4870" spans="5:16" hidden="1" x14ac:dyDescent="0.25">
      <c r="E4870" s="43">
        <f>COUNTIF($O$7:O4870,FORMULARIO!$AA$2)</f>
        <v>1</v>
      </c>
      <c r="M4870" s="46"/>
      <c r="P4870" s="16"/>
    </row>
    <row r="4871" spans="5:16" hidden="1" x14ac:dyDescent="0.25">
      <c r="E4871" s="43">
        <f>COUNTIF($O$7:O4871,FORMULARIO!$AA$2)</f>
        <v>1</v>
      </c>
      <c r="M4871" s="46"/>
      <c r="P4871" s="16"/>
    </row>
    <row r="4872" spans="5:16" hidden="1" x14ac:dyDescent="0.25">
      <c r="E4872" s="43">
        <f>COUNTIF($O$7:O4872,FORMULARIO!$AA$2)</f>
        <v>1</v>
      </c>
      <c r="M4872" s="46"/>
      <c r="P4872" s="16"/>
    </row>
    <row r="4873" spans="5:16" hidden="1" x14ac:dyDescent="0.25">
      <c r="E4873" s="43">
        <f>COUNTIF($O$7:O4873,FORMULARIO!$AA$2)</f>
        <v>1</v>
      </c>
      <c r="M4873" s="46"/>
      <c r="P4873" s="16"/>
    </row>
    <row r="4874" spans="5:16" hidden="1" x14ac:dyDescent="0.25">
      <c r="E4874" s="43">
        <f>COUNTIF($O$7:O4874,FORMULARIO!$AA$2)</f>
        <v>1</v>
      </c>
      <c r="M4874" s="46"/>
      <c r="P4874" s="16"/>
    </row>
    <row r="4875" spans="5:16" hidden="1" x14ac:dyDescent="0.25">
      <c r="E4875" s="43">
        <f>COUNTIF($O$7:O4875,FORMULARIO!$AA$2)</f>
        <v>1</v>
      </c>
      <c r="M4875" s="46"/>
      <c r="P4875" s="16"/>
    </row>
    <row r="4876" spans="5:16" hidden="1" x14ac:dyDescent="0.25">
      <c r="E4876" s="43">
        <f>COUNTIF($O$7:O4876,FORMULARIO!$AA$2)</f>
        <v>1</v>
      </c>
      <c r="M4876" s="46"/>
      <c r="P4876" s="16"/>
    </row>
    <row r="4877" spans="5:16" hidden="1" x14ac:dyDescent="0.25">
      <c r="E4877" s="43">
        <f>COUNTIF($O$7:O4877,FORMULARIO!$AA$2)</f>
        <v>1</v>
      </c>
      <c r="M4877" s="46"/>
      <c r="P4877" s="16"/>
    </row>
    <row r="4878" spans="5:16" hidden="1" x14ac:dyDescent="0.25">
      <c r="E4878" s="43">
        <f>COUNTIF($O$7:O4878,FORMULARIO!$AA$2)</f>
        <v>1</v>
      </c>
      <c r="M4878" s="46"/>
      <c r="P4878" s="16"/>
    </row>
    <row r="4879" spans="5:16" hidden="1" x14ac:dyDescent="0.25">
      <c r="E4879" s="43">
        <f>COUNTIF($O$7:O4879,FORMULARIO!$AA$2)</f>
        <v>1</v>
      </c>
      <c r="M4879" s="46"/>
      <c r="P4879" s="16"/>
    </row>
    <row r="4880" spans="5:16" hidden="1" x14ac:dyDescent="0.25">
      <c r="E4880" s="43">
        <f>COUNTIF($O$7:O4880,FORMULARIO!$AA$2)</f>
        <v>1</v>
      </c>
      <c r="M4880" s="46"/>
      <c r="P4880" s="16"/>
    </row>
    <row r="4881" spans="5:16" hidden="1" x14ac:dyDescent="0.25">
      <c r="E4881" s="43">
        <f>COUNTIF($O$7:O4881,FORMULARIO!$AA$2)</f>
        <v>1</v>
      </c>
      <c r="M4881" s="46"/>
      <c r="P4881" s="16"/>
    </row>
    <row r="4882" spans="5:16" hidden="1" x14ac:dyDescent="0.25">
      <c r="E4882" s="43">
        <f>COUNTIF($O$7:O4882,FORMULARIO!$AA$2)</f>
        <v>1</v>
      </c>
      <c r="M4882" s="46"/>
      <c r="P4882" s="16"/>
    </row>
    <row r="4883" spans="5:16" hidden="1" x14ac:dyDescent="0.25">
      <c r="E4883" s="43">
        <f>COUNTIF($O$7:O4883,FORMULARIO!$AA$2)</f>
        <v>1</v>
      </c>
      <c r="M4883" s="46"/>
      <c r="P4883" s="16"/>
    </row>
    <row r="4884" spans="5:16" hidden="1" x14ac:dyDescent="0.25">
      <c r="E4884" s="43">
        <f>COUNTIF($O$7:O4884,FORMULARIO!$AA$2)</f>
        <v>1</v>
      </c>
      <c r="M4884" s="46"/>
      <c r="P4884" s="16"/>
    </row>
    <row r="4885" spans="5:16" hidden="1" x14ac:dyDescent="0.25">
      <c r="E4885" s="43">
        <f>COUNTIF($O$7:O4885,FORMULARIO!$AA$2)</f>
        <v>1</v>
      </c>
      <c r="M4885" s="46"/>
      <c r="P4885" s="16"/>
    </row>
    <row r="4886" spans="5:16" hidden="1" x14ac:dyDescent="0.25">
      <c r="E4886" s="43">
        <f>COUNTIF($O$7:O4886,FORMULARIO!$AA$2)</f>
        <v>1</v>
      </c>
      <c r="M4886" s="46"/>
      <c r="P4886" s="16"/>
    </row>
    <row r="4887" spans="5:16" hidden="1" x14ac:dyDescent="0.25">
      <c r="E4887" s="43">
        <f>COUNTIF($O$7:O4887,FORMULARIO!$AA$2)</f>
        <v>1</v>
      </c>
      <c r="M4887" s="46"/>
      <c r="P4887" s="16"/>
    </row>
    <row r="4888" spans="5:16" hidden="1" x14ac:dyDescent="0.25">
      <c r="E4888" s="43">
        <f>COUNTIF($O$7:O4888,FORMULARIO!$AA$2)</f>
        <v>1</v>
      </c>
      <c r="M4888" s="46"/>
      <c r="P4888" s="16"/>
    </row>
    <row r="4889" spans="5:16" hidden="1" x14ac:dyDescent="0.25">
      <c r="E4889" s="43">
        <f>COUNTIF($O$7:O4889,FORMULARIO!$AA$2)</f>
        <v>1</v>
      </c>
      <c r="M4889" s="46"/>
      <c r="P4889" s="16"/>
    </row>
    <row r="4890" spans="5:16" hidden="1" x14ac:dyDescent="0.25">
      <c r="E4890" s="43">
        <f>COUNTIF($O$7:O4890,FORMULARIO!$AA$2)</f>
        <v>1</v>
      </c>
      <c r="M4890" s="46"/>
      <c r="P4890" s="16"/>
    </row>
    <row r="4891" spans="5:16" hidden="1" x14ac:dyDescent="0.25">
      <c r="E4891" s="43">
        <f>COUNTIF($O$7:O4891,FORMULARIO!$AA$2)</f>
        <v>1</v>
      </c>
      <c r="M4891" s="46"/>
      <c r="P4891" s="16"/>
    </row>
    <row r="4892" spans="5:16" hidden="1" x14ac:dyDescent="0.25">
      <c r="E4892" s="43">
        <f>COUNTIF($O$7:O4892,FORMULARIO!$AA$2)</f>
        <v>1</v>
      </c>
      <c r="M4892" s="46"/>
      <c r="P4892" s="16"/>
    </row>
    <row r="4893" spans="5:16" hidden="1" x14ac:dyDescent="0.25">
      <c r="E4893" s="43">
        <f>COUNTIF($O$7:O4893,FORMULARIO!$AA$2)</f>
        <v>1</v>
      </c>
      <c r="M4893" s="46"/>
      <c r="P4893" s="16"/>
    </row>
    <row r="4894" spans="5:16" hidden="1" x14ac:dyDescent="0.25">
      <c r="E4894" s="43">
        <f>COUNTIF($O$7:O4894,FORMULARIO!$AA$2)</f>
        <v>1</v>
      </c>
      <c r="M4894" s="46"/>
      <c r="P4894" s="16"/>
    </row>
    <row r="4895" spans="5:16" hidden="1" x14ac:dyDescent="0.25">
      <c r="E4895" s="43">
        <f>COUNTIF($O$7:O4895,FORMULARIO!$AA$2)</f>
        <v>1</v>
      </c>
      <c r="M4895" s="46"/>
      <c r="P4895" s="16"/>
    </row>
    <row r="4896" spans="5:16" hidden="1" x14ac:dyDescent="0.25">
      <c r="E4896" s="43">
        <f>COUNTIF($O$7:O4896,FORMULARIO!$AA$2)</f>
        <v>1</v>
      </c>
      <c r="M4896" s="46"/>
      <c r="P4896" s="16"/>
    </row>
    <row r="4897" spans="5:16" hidden="1" x14ac:dyDescent="0.25">
      <c r="E4897" s="43">
        <f>COUNTIF($O$7:O4897,FORMULARIO!$AA$2)</f>
        <v>1</v>
      </c>
      <c r="M4897" s="46"/>
      <c r="P4897" s="16"/>
    </row>
    <row r="4898" spans="5:16" hidden="1" x14ac:dyDescent="0.25">
      <c r="E4898" s="43">
        <f>COUNTIF($O$7:O4898,FORMULARIO!$AA$2)</f>
        <v>1</v>
      </c>
      <c r="M4898" s="46"/>
      <c r="P4898" s="16"/>
    </row>
    <row r="4899" spans="5:16" hidden="1" x14ac:dyDescent="0.25">
      <c r="E4899" s="43">
        <f>COUNTIF($O$7:O4899,FORMULARIO!$AA$2)</f>
        <v>1</v>
      </c>
      <c r="M4899" s="46"/>
      <c r="P4899" s="16"/>
    </row>
    <row r="4900" spans="5:16" hidden="1" x14ac:dyDescent="0.25">
      <c r="E4900" s="43">
        <f>COUNTIF($O$7:O4900,FORMULARIO!$AA$2)</f>
        <v>1</v>
      </c>
      <c r="M4900" s="46"/>
      <c r="P4900" s="16"/>
    </row>
    <row r="4901" spans="5:16" hidden="1" x14ac:dyDescent="0.25">
      <c r="E4901" s="43">
        <f>COUNTIF($O$7:O4901,FORMULARIO!$AA$2)</f>
        <v>1</v>
      </c>
      <c r="M4901" s="46"/>
      <c r="P4901" s="16"/>
    </row>
    <row r="4902" spans="5:16" hidden="1" x14ac:dyDescent="0.25">
      <c r="E4902" s="43">
        <f>COUNTIF($O$7:O4902,FORMULARIO!$AA$2)</f>
        <v>1</v>
      </c>
      <c r="M4902" s="46"/>
      <c r="P4902" s="16"/>
    </row>
    <row r="4903" spans="5:16" hidden="1" x14ac:dyDescent="0.25">
      <c r="E4903" s="43">
        <f>COUNTIF($O$7:O4903,FORMULARIO!$AA$2)</f>
        <v>1</v>
      </c>
      <c r="M4903" s="46"/>
      <c r="P4903" s="16"/>
    </row>
    <row r="4904" spans="5:16" hidden="1" x14ac:dyDescent="0.25">
      <c r="E4904" s="43">
        <f>COUNTIF($O$7:O4904,FORMULARIO!$AA$2)</f>
        <v>1</v>
      </c>
      <c r="M4904" s="46"/>
      <c r="P4904" s="16"/>
    </row>
    <row r="4905" spans="5:16" hidden="1" x14ac:dyDescent="0.25">
      <c r="E4905" s="43">
        <f>COUNTIF($O$7:O4905,FORMULARIO!$AA$2)</f>
        <v>1</v>
      </c>
      <c r="M4905" s="46"/>
      <c r="P4905" s="16"/>
    </row>
    <row r="4906" spans="5:16" hidden="1" x14ac:dyDescent="0.25">
      <c r="E4906" s="43">
        <f>COUNTIF($O$7:O4906,FORMULARIO!$AA$2)</f>
        <v>1</v>
      </c>
      <c r="M4906" s="46"/>
      <c r="P4906" s="16"/>
    </row>
    <row r="4907" spans="5:16" hidden="1" x14ac:dyDescent="0.25">
      <c r="E4907" s="43">
        <f>COUNTIF($O$7:O4907,FORMULARIO!$AA$2)</f>
        <v>1</v>
      </c>
      <c r="M4907" s="46"/>
      <c r="P4907" s="16"/>
    </row>
    <row r="4908" spans="5:16" hidden="1" x14ac:dyDescent="0.25">
      <c r="E4908" s="43">
        <f>COUNTIF($O$7:O4908,FORMULARIO!$AA$2)</f>
        <v>1</v>
      </c>
      <c r="M4908" s="46"/>
      <c r="P4908" s="16"/>
    </row>
    <row r="4909" spans="5:16" hidden="1" x14ac:dyDescent="0.25">
      <c r="E4909" s="43">
        <f>COUNTIF($O$7:O4909,FORMULARIO!$AA$2)</f>
        <v>1</v>
      </c>
      <c r="M4909" s="46"/>
      <c r="P4909" s="16"/>
    </row>
    <row r="4910" spans="5:16" hidden="1" x14ac:dyDescent="0.25">
      <c r="E4910" s="43">
        <f>COUNTIF($O$7:O4910,FORMULARIO!$AA$2)</f>
        <v>1</v>
      </c>
      <c r="M4910" s="46"/>
      <c r="P4910" s="16"/>
    </row>
    <row r="4911" spans="5:16" hidden="1" x14ac:dyDescent="0.25">
      <c r="E4911" s="43">
        <f>COUNTIF($O$7:O4911,FORMULARIO!$AA$2)</f>
        <v>1</v>
      </c>
      <c r="M4911" s="46"/>
      <c r="P4911" s="16"/>
    </row>
    <row r="4912" spans="5:16" hidden="1" x14ac:dyDescent="0.25">
      <c r="E4912" s="43">
        <f>COUNTIF($O$7:O4912,FORMULARIO!$AA$2)</f>
        <v>1</v>
      </c>
      <c r="M4912" s="46"/>
      <c r="P4912" s="16"/>
    </row>
    <row r="4913" spans="5:16" hidden="1" x14ac:dyDescent="0.25">
      <c r="E4913" s="43">
        <f>COUNTIF($O$7:O4913,FORMULARIO!$AA$2)</f>
        <v>1</v>
      </c>
      <c r="M4913" s="46"/>
      <c r="P4913" s="16"/>
    </row>
    <row r="4914" spans="5:16" hidden="1" x14ac:dyDescent="0.25">
      <c r="E4914" s="43">
        <f>COUNTIF($O$7:O4914,FORMULARIO!$AA$2)</f>
        <v>1</v>
      </c>
      <c r="M4914" s="46"/>
      <c r="P4914" s="16"/>
    </row>
    <row r="4915" spans="5:16" hidden="1" x14ac:dyDescent="0.25">
      <c r="E4915" s="43">
        <f>COUNTIF($O$7:O4915,FORMULARIO!$AA$2)</f>
        <v>1</v>
      </c>
      <c r="M4915" s="46"/>
      <c r="P4915" s="16"/>
    </row>
    <row r="4916" spans="5:16" hidden="1" x14ac:dyDescent="0.25">
      <c r="E4916" s="43">
        <f>COUNTIF($O$7:O4916,FORMULARIO!$AA$2)</f>
        <v>1</v>
      </c>
      <c r="M4916" s="46"/>
      <c r="P4916" s="16"/>
    </row>
    <row r="4917" spans="5:16" hidden="1" x14ac:dyDescent="0.25">
      <c r="E4917" s="43">
        <f>COUNTIF($O$7:O4917,FORMULARIO!$AA$2)</f>
        <v>1</v>
      </c>
      <c r="M4917" s="46"/>
      <c r="P4917" s="16"/>
    </row>
    <row r="4918" spans="5:16" hidden="1" x14ac:dyDescent="0.25">
      <c r="E4918" s="43">
        <f>COUNTIF($O$7:O4918,FORMULARIO!$AA$2)</f>
        <v>1</v>
      </c>
      <c r="M4918" s="46"/>
      <c r="P4918" s="16"/>
    </row>
    <row r="4919" spans="5:16" hidden="1" x14ac:dyDescent="0.25">
      <c r="E4919" s="43">
        <f>COUNTIF($O$7:O4919,FORMULARIO!$AA$2)</f>
        <v>1</v>
      </c>
      <c r="M4919" s="46"/>
      <c r="P4919" s="16"/>
    </row>
    <row r="4920" spans="5:16" hidden="1" x14ac:dyDescent="0.25">
      <c r="E4920" s="43">
        <f>COUNTIF($O$7:O4920,FORMULARIO!$AA$2)</f>
        <v>1</v>
      </c>
      <c r="M4920" s="46"/>
      <c r="P4920" s="16"/>
    </row>
    <row r="4921" spans="5:16" hidden="1" x14ac:dyDescent="0.25">
      <c r="E4921" s="43">
        <f>COUNTIF($O$7:O4921,FORMULARIO!$AA$2)</f>
        <v>1</v>
      </c>
      <c r="M4921" s="46"/>
      <c r="P4921" s="16"/>
    </row>
    <row r="4922" spans="5:16" hidden="1" x14ac:dyDescent="0.25">
      <c r="E4922" s="43">
        <f>COUNTIF($O$7:O4922,FORMULARIO!$AA$2)</f>
        <v>1</v>
      </c>
      <c r="M4922" s="46"/>
      <c r="P4922" s="16"/>
    </row>
    <row r="4923" spans="5:16" hidden="1" x14ac:dyDescent="0.25">
      <c r="E4923" s="43">
        <f>COUNTIF($O$7:O4923,FORMULARIO!$AA$2)</f>
        <v>1</v>
      </c>
      <c r="M4923" s="46"/>
      <c r="P4923" s="16"/>
    </row>
    <row r="4924" spans="5:16" hidden="1" x14ac:dyDescent="0.25">
      <c r="E4924" s="43">
        <f>COUNTIF($O$7:O4924,FORMULARIO!$AA$2)</f>
        <v>1</v>
      </c>
      <c r="M4924" s="46"/>
      <c r="P4924" s="16"/>
    </row>
    <row r="4925" spans="5:16" hidden="1" x14ac:dyDescent="0.25">
      <c r="E4925" s="43">
        <f>COUNTIF($O$7:O4925,FORMULARIO!$AA$2)</f>
        <v>1</v>
      </c>
      <c r="M4925" s="46"/>
      <c r="P4925" s="16"/>
    </row>
    <row r="4926" spans="5:16" hidden="1" x14ac:dyDescent="0.25">
      <c r="E4926" s="43">
        <f>COUNTIF($O$7:O4926,FORMULARIO!$AA$2)</f>
        <v>1</v>
      </c>
      <c r="M4926" s="46"/>
      <c r="P4926" s="16"/>
    </row>
    <row r="4927" spans="5:16" hidden="1" x14ac:dyDescent="0.25">
      <c r="E4927" s="43">
        <f>COUNTIF($O$7:O4927,FORMULARIO!$AA$2)</f>
        <v>1</v>
      </c>
      <c r="M4927" s="46"/>
      <c r="P4927" s="16"/>
    </row>
    <row r="4928" spans="5:16" hidden="1" x14ac:dyDescent="0.25">
      <c r="E4928" s="43">
        <f>COUNTIF($O$7:O4928,FORMULARIO!$AA$2)</f>
        <v>1</v>
      </c>
      <c r="M4928" s="46"/>
      <c r="P4928" s="16"/>
    </row>
    <row r="4929" spans="5:16" hidden="1" x14ac:dyDescent="0.25">
      <c r="E4929" s="43">
        <f>COUNTIF($O$7:O4929,FORMULARIO!$AA$2)</f>
        <v>1</v>
      </c>
      <c r="M4929" s="46"/>
      <c r="P4929" s="16"/>
    </row>
    <row r="4930" spans="5:16" hidden="1" x14ac:dyDescent="0.25">
      <c r="E4930" s="43">
        <f>COUNTIF($O$7:O4930,FORMULARIO!$AA$2)</f>
        <v>1</v>
      </c>
      <c r="M4930" s="46"/>
      <c r="P4930" s="16"/>
    </row>
    <row r="4931" spans="5:16" hidden="1" x14ac:dyDescent="0.25">
      <c r="E4931" s="43">
        <f>COUNTIF($O$7:O4931,FORMULARIO!$AA$2)</f>
        <v>1</v>
      </c>
      <c r="M4931" s="46"/>
      <c r="P4931" s="16"/>
    </row>
    <row r="4932" spans="5:16" hidden="1" x14ac:dyDescent="0.25">
      <c r="E4932" s="43">
        <f>COUNTIF($O$7:O4932,FORMULARIO!$AA$2)</f>
        <v>1</v>
      </c>
      <c r="M4932" s="46"/>
      <c r="P4932" s="16"/>
    </row>
    <row r="4933" spans="5:16" hidden="1" x14ac:dyDescent="0.25">
      <c r="E4933" s="43">
        <f>COUNTIF($O$7:O4933,FORMULARIO!$AA$2)</f>
        <v>1</v>
      </c>
      <c r="M4933" s="46"/>
      <c r="P4933" s="16"/>
    </row>
    <row r="4934" spans="5:16" hidden="1" x14ac:dyDescent="0.25">
      <c r="E4934" s="43">
        <f>COUNTIF($O$7:O4934,FORMULARIO!$AA$2)</f>
        <v>1</v>
      </c>
      <c r="M4934" s="46"/>
      <c r="P4934" s="16"/>
    </row>
    <row r="4935" spans="5:16" hidden="1" x14ac:dyDescent="0.25">
      <c r="E4935" s="43">
        <f>COUNTIF($O$7:O4935,FORMULARIO!$AA$2)</f>
        <v>1</v>
      </c>
      <c r="M4935" s="46"/>
      <c r="P4935" s="16"/>
    </row>
    <row r="4936" spans="5:16" hidden="1" x14ac:dyDescent="0.25">
      <c r="E4936" s="43">
        <f>COUNTIF($O$7:O4936,FORMULARIO!$AA$2)</f>
        <v>1</v>
      </c>
      <c r="M4936" s="46"/>
      <c r="P4936" s="16"/>
    </row>
    <row r="4937" spans="5:16" hidden="1" x14ac:dyDescent="0.25">
      <c r="E4937" s="43">
        <f>COUNTIF($O$7:O4937,FORMULARIO!$AA$2)</f>
        <v>1</v>
      </c>
      <c r="M4937" s="46"/>
      <c r="P4937" s="16"/>
    </row>
    <row r="4938" spans="5:16" hidden="1" x14ac:dyDescent="0.25">
      <c r="E4938" s="43">
        <f>COUNTIF($O$7:O4938,FORMULARIO!$AA$2)</f>
        <v>1</v>
      </c>
      <c r="M4938" s="46"/>
      <c r="P4938" s="16"/>
    </row>
    <row r="4939" spans="5:16" hidden="1" x14ac:dyDescent="0.25">
      <c r="E4939" s="43">
        <f>COUNTIF($O$7:O4939,FORMULARIO!$AA$2)</f>
        <v>1</v>
      </c>
      <c r="M4939" s="46"/>
      <c r="P4939" s="16"/>
    </row>
    <row r="4940" spans="5:16" hidden="1" x14ac:dyDescent="0.25">
      <c r="E4940" s="43">
        <f>COUNTIF($O$7:O4940,FORMULARIO!$AA$2)</f>
        <v>1</v>
      </c>
      <c r="M4940" s="46"/>
      <c r="P4940" s="16"/>
    </row>
    <row r="4941" spans="5:16" hidden="1" x14ac:dyDescent="0.25">
      <c r="E4941" s="43">
        <f>COUNTIF($O$7:O4941,FORMULARIO!$AA$2)</f>
        <v>1</v>
      </c>
      <c r="M4941" s="46"/>
      <c r="P4941" s="16"/>
    </row>
    <row r="4942" spans="5:16" hidden="1" x14ac:dyDescent="0.25">
      <c r="E4942" s="43">
        <f>COUNTIF($O$7:O4942,FORMULARIO!$AA$2)</f>
        <v>1</v>
      </c>
      <c r="M4942" s="46"/>
      <c r="P4942" s="16"/>
    </row>
    <row r="4943" spans="5:16" hidden="1" x14ac:dyDescent="0.25">
      <c r="E4943" s="43">
        <f>COUNTIF($O$7:O4943,FORMULARIO!$AA$2)</f>
        <v>1</v>
      </c>
      <c r="M4943" s="46"/>
      <c r="P4943" s="16"/>
    </row>
    <row r="4944" spans="5:16" hidden="1" x14ac:dyDescent="0.25">
      <c r="E4944" s="43">
        <f>COUNTIF($O$7:O4944,FORMULARIO!$AA$2)</f>
        <v>1</v>
      </c>
      <c r="M4944" s="46"/>
      <c r="P4944" s="16"/>
    </row>
    <row r="4945" spans="5:16" hidden="1" x14ac:dyDescent="0.25">
      <c r="E4945" s="43">
        <f>COUNTIF($O$7:O4945,FORMULARIO!$AA$2)</f>
        <v>1</v>
      </c>
      <c r="M4945" s="46"/>
      <c r="P4945" s="16"/>
    </row>
    <row r="4946" spans="5:16" hidden="1" x14ac:dyDescent="0.25">
      <c r="E4946" s="43">
        <f>COUNTIF($O$7:O4946,FORMULARIO!$AA$2)</f>
        <v>1</v>
      </c>
      <c r="M4946" s="46"/>
      <c r="P4946" s="16"/>
    </row>
    <row r="4947" spans="5:16" hidden="1" x14ac:dyDescent="0.25">
      <c r="E4947" s="43">
        <f>COUNTIF($O$7:O4947,FORMULARIO!$AA$2)</f>
        <v>1</v>
      </c>
      <c r="M4947" s="46"/>
      <c r="P4947" s="16"/>
    </row>
    <row r="4948" spans="5:16" hidden="1" x14ac:dyDescent="0.25">
      <c r="E4948" s="43">
        <f>COUNTIF($O$7:O4948,FORMULARIO!$AA$2)</f>
        <v>1</v>
      </c>
      <c r="M4948" s="46"/>
      <c r="P4948" s="16"/>
    </row>
    <row r="4949" spans="5:16" hidden="1" x14ac:dyDescent="0.25">
      <c r="E4949" s="43">
        <f>COUNTIF($O$7:O4949,FORMULARIO!$AA$2)</f>
        <v>1</v>
      </c>
      <c r="M4949" s="46"/>
      <c r="P4949" s="16"/>
    </row>
    <row r="4950" spans="5:16" hidden="1" x14ac:dyDescent="0.25">
      <c r="E4950" s="43">
        <f>COUNTIF($O$7:O4950,FORMULARIO!$AA$2)</f>
        <v>1</v>
      </c>
      <c r="M4950" s="46"/>
      <c r="P4950" s="16"/>
    </row>
    <row r="4951" spans="5:16" hidden="1" x14ac:dyDescent="0.25">
      <c r="E4951" s="43">
        <f>COUNTIF($O$7:O4951,FORMULARIO!$AA$2)</f>
        <v>1</v>
      </c>
      <c r="M4951" s="46"/>
      <c r="P4951" s="16"/>
    </row>
    <row r="4952" spans="5:16" hidden="1" x14ac:dyDescent="0.25">
      <c r="E4952" s="43">
        <f>COUNTIF($O$7:O4952,FORMULARIO!$AA$2)</f>
        <v>1</v>
      </c>
      <c r="M4952" s="46"/>
      <c r="P4952" s="16"/>
    </row>
    <row r="4953" spans="5:16" hidden="1" x14ac:dyDescent="0.25">
      <c r="E4953" s="43">
        <f>COUNTIF($O$7:O4953,FORMULARIO!$AA$2)</f>
        <v>1</v>
      </c>
      <c r="M4953" s="46"/>
      <c r="P4953" s="16"/>
    </row>
    <row r="4954" spans="5:16" hidden="1" x14ac:dyDescent="0.25">
      <c r="E4954" s="43">
        <f>COUNTIF($O$7:O4954,FORMULARIO!$AA$2)</f>
        <v>1</v>
      </c>
      <c r="M4954" s="46"/>
      <c r="P4954" s="16"/>
    </row>
    <row r="4955" spans="5:16" hidden="1" x14ac:dyDescent="0.25">
      <c r="E4955" s="43">
        <f>COUNTIF($O$7:O4955,FORMULARIO!$AA$2)</f>
        <v>1</v>
      </c>
      <c r="M4955" s="46"/>
      <c r="P4955" s="16"/>
    </row>
    <row r="4956" spans="5:16" hidden="1" x14ac:dyDescent="0.25">
      <c r="E4956" s="43">
        <f>COUNTIF($O$7:O4956,FORMULARIO!$AA$2)</f>
        <v>1</v>
      </c>
      <c r="M4956" s="46"/>
      <c r="P4956" s="16"/>
    </row>
    <row r="4957" spans="5:16" hidden="1" x14ac:dyDescent="0.25">
      <c r="E4957" s="43">
        <f>COUNTIF($O$7:O4957,FORMULARIO!$AA$2)</f>
        <v>1</v>
      </c>
      <c r="M4957" s="46"/>
      <c r="P4957" s="16"/>
    </row>
    <row r="4958" spans="5:16" hidden="1" x14ac:dyDescent="0.25">
      <c r="E4958" s="43">
        <f>COUNTIF($O$7:O4958,FORMULARIO!$AA$2)</f>
        <v>1</v>
      </c>
      <c r="M4958" s="46"/>
      <c r="P4958" s="16"/>
    </row>
    <row r="4959" spans="5:16" hidden="1" x14ac:dyDescent="0.25">
      <c r="E4959" s="43">
        <f>COUNTIF($O$7:O4959,FORMULARIO!$AA$2)</f>
        <v>1</v>
      </c>
      <c r="M4959" s="46"/>
      <c r="P4959" s="16"/>
    </row>
    <row r="4960" spans="5:16" hidden="1" x14ac:dyDescent="0.25">
      <c r="E4960" s="43">
        <f>COUNTIF($O$7:O4960,FORMULARIO!$AA$2)</f>
        <v>1</v>
      </c>
      <c r="M4960" s="46"/>
      <c r="P4960" s="16"/>
    </row>
    <row r="4961" spans="5:16" hidden="1" x14ac:dyDescent="0.25">
      <c r="E4961" s="43">
        <f>COUNTIF($O$7:O4961,FORMULARIO!$AA$2)</f>
        <v>1</v>
      </c>
      <c r="M4961" s="46"/>
      <c r="P4961" s="16"/>
    </row>
    <row r="4962" spans="5:16" hidden="1" x14ac:dyDescent="0.25">
      <c r="E4962" s="43">
        <f>COUNTIF($O$7:O4962,FORMULARIO!$AA$2)</f>
        <v>1</v>
      </c>
      <c r="M4962" s="46"/>
      <c r="P4962" s="16"/>
    </row>
    <row r="4963" spans="5:16" hidden="1" x14ac:dyDescent="0.25">
      <c r="E4963" s="43">
        <f>COUNTIF($O$7:O4963,FORMULARIO!$AA$2)</f>
        <v>1</v>
      </c>
      <c r="M4963" s="46"/>
      <c r="P4963" s="16"/>
    </row>
    <row r="4964" spans="5:16" hidden="1" x14ac:dyDescent="0.25">
      <c r="E4964" s="43">
        <f>COUNTIF($O$7:O4964,FORMULARIO!$AA$2)</f>
        <v>1</v>
      </c>
      <c r="M4964" s="46"/>
      <c r="P4964" s="16"/>
    </row>
    <row r="4965" spans="5:16" hidden="1" x14ac:dyDescent="0.25">
      <c r="E4965" s="43">
        <f>COUNTIF($O$7:O4965,FORMULARIO!$AA$2)</f>
        <v>1</v>
      </c>
      <c r="M4965" s="46"/>
      <c r="P4965" s="16"/>
    </row>
    <row r="4966" spans="5:16" hidden="1" x14ac:dyDescent="0.25">
      <c r="E4966" s="43">
        <f>COUNTIF($O$7:O4966,FORMULARIO!$AA$2)</f>
        <v>1</v>
      </c>
      <c r="M4966" s="46"/>
      <c r="P4966" s="16"/>
    </row>
    <row r="4967" spans="5:16" hidden="1" x14ac:dyDescent="0.25">
      <c r="E4967" s="43">
        <f>COUNTIF($O$7:O4967,FORMULARIO!$AA$2)</f>
        <v>1</v>
      </c>
      <c r="M4967" s="46"/>
      <c r="P4967" s="16"/>
    </row>
    <row r="4968" spans="5:16" hidden="1" x14ac:dyDescent="0.25">
      <c r="E4968" s="43">
        <f>COUNTIF($O$7:O4968,FORMULARIO!$AA$2)</f>
        <v>1</v>
      </c>
      <c r="M4968" s="46"/>
      <c r="P4968" s="16"/>
    </row>
    <row r="4969" spans="5:16" hidden="1" x14ac:dyDescent="0.25">
      <c r="E4969" s="43">
        <f>COUNTIF($O$7:O4969,FORMULARIO!$AA$2)</f>
        <v>1</v>
      </c>
      <c r="M4969" s="46"/>
      <c r="P4969" s="16"/>
    </row>
    <row r="4970" spans="5:16" hidden="1" x14ac:dyDescent="0.25">
      <c r="E4970" s="43">
        <f>COUNTIF($O$7:O4970,FORMULARIO!$AA$2)</f>
        <v>1</v>
      </c>
      <c r="M4970" s="46"/>
      <c r="P4970" s="16"/>
    </row>
    <row r="4971" spans="5:16" hidden="1" x14ac:dyDescent="0.25">
      <c r="E4971" s="43">
        <f>COUNTIF($O$7:O4971,FORMULARIO!$AA$2)</f>
        <v>1</v>
      </c>
      <c r="M4971" s="46"/>
      <c r="P4971" s="16"/>
    </row>
    <row r="4972" spans="5:16" hidden="1" x14ac:dyDescent="0.25">
      <c r="E4972" s="43">
        <f>COUNTIF($O$7:O4972,FORMULARIO!$AA$2)</f>
        <v>1</v>
      </c>
      <c r="M4972" s="46"/>
      <c r="P4972" s="16"/>
    </row>
    <row r="4973" spans="5:16" hidden="1" x14ac:dyDescent="0.25">
      <c r="E4973" s="43">
        <f>COUNTIF($O$7:O4973,FORMULARIO!$AA$2)</f>
        <v>1</v>
      </c>
      <c r="M4973" s="46"/>
      <c r="P4973" s="16"/>
    </row>
    <row r="4974" spans="5:16" hidden="1" x14ac:dyDescent="0.25">
      <c r="E4974" s="43">
        <f>COUNTIF($O$7:O4974,FORMULARIO!$AA$2)</f>
        <v>1</v>
      </c>
      <c r="M4974" s="46"/>
      <c r="P4974" s="16"/>
    </row>
    <row r="4975" spans="5:16" hidden="1" x14ac:dyDescent="0.25">
      <c r="E4975" s="43">
        <f>COUNTIF($O$7:O4975,FORMULARIO!$AA$2)</f>
        <v>1</v>
      </c>
      <c r="M4975" s="46"/>
      <c r="P4975" s="16"/>
    </row>
    <row r="4976" spans="5:16" hidden="1" x14ac:dyDescent="0.25">
      <c r="E4976" s="43">
        <f>COUNTIF($O$7:O4976,FORMULARIO!$AA$2)</f>
        <v>1</v>
      </c>
      <c r="M4976" s="46"/>
      <c r="P4976" s="16"/>
    </row>
    <row r="4977" spans="5:16" hidden="1" x14ac:dyDescent="0.25">
      <c r="E4977" s="43">
        <f>COUNTIF($O$7:O4977,FORMULARIO!$AA$2)</f>
        <v>1</v>
      </c>
      <c r="M4977" s="46"/>
      <c r="P4977" s="16"/>
    </row>
    <row r="4978" spans="5:16" hidden="1" x14ac:dyDescent="0.25">
      <c r="E4978" s="43">
        <f>COUNTIF($O$7:O4978,FORMULARIO!$AA$2)</f>
        <v>1</v>
      </c>
      <c r="M4978" s="46"/>
      <c r="P4978" s="16"/>
    </row>
    <row r="4979" spans="5:16" hidden="1" x14ac:dyDescent="0.25">
      <c r="E4979" s="43">
        <f>COUNTIF($O$7:O4979,FORMULARIO!$AA$2)</f>
        <v>1</v>
      </c>
      <c r="M4979" s="46"/>
      <c r="P4979" s="16"/>
    </row>
    <row r="4980" spans="5:16" hidden="1" x14ac:dyDescent="0.25">
      <c r="E4980" s="43">
        <f>COUNTIF($O$7:O4980,FORMULARIO!$AA$2)</f>
        <v>1</v>
      </c>
      <c r="M4980" s="46"/>
      <c r="P4980" s="16"/>
    </row>
    <row r="4981" spans="5:16" hidden="1" x14ac:dyDescent="0.25">
      <c r="E4981" s="43">
        <f>COUNTIF($O$7:O4981,FORMULARIO!$AA$2)</f>
        <v>1</v>
      </c>
      <c r="M4981" s="46"/>
      <c r="P4981" s="16"/>
    </row>
    <row r="4982" spans="5:16" hidden="1" x14ac:dyDescent="0.25">
      <c r="E4982" s="43">
        <f>COUNTIF($O$7:O4982,FORMULARIO!$AA$2)</f>
        <v>1</v>
      </c>
      <c r="M4982" s="46"/>
      <c r="P4982" s="16"/>
    </row>
    <row r="4983" spans="5:16" hidden="1" x14ac:dyDescent="0.25">
      <c r="E4983" s="43">
        <f>COUNTIF($O$7:O4983,FORMULARIO!$AA$2)</f>
        <v>1</v>
      </c>
      <c r="M4983" s="46"/>
      <c r="P4983" s="16"/>
    </row>
    <row r="4984" spans="5:16" hidden="1" x14ac:dyDescent="0.25">
      <c r="E4984" s="43">
        <f>COUNTIF($O$7:O4984,FORMULARIO!$AA$2)</f>
        <v>1</v>
      </c>
      <c r="M4984" s="46"/>
      <c r="P4984" s="16"/>
    </row>
    <row r="4985" spans="5:16" hidden="1" x14ac:dyDescent="0.25">
      <c r="E4985" s="43">
        <f>COUNTIF($O$7:O4985,FORMULARIO!$AA$2)</f>
        <v>1</v>
      </c>
      <c r="M4985" s="46"/>
      <c r="P4985" s="16"/>
    </row>
    <row r="4986" spans="5:16" hidden="1" x14ac:dyDescent="0.25">
      <c r="E4986" s="43">
        <f>COUNTIF($O$7:O4986,FORMULARIO!$AA$2)</f>
        <v>1</v>
      </c>
      <c r="M4986" s="46"/>
      <c r="P4986" s="16"/>
    </row>
    <row r="4987" spans="5:16" hidden="1" x14ac:dyDescent="0.25">
      <c r="E4987" s="43">
        <f>COUNTIF($O$7:O4987,FORMULARIO!$AA$2)</f>
        <v>1</v>
      </c>
      <c r="M4987" s="46"/>
      <c r="P4987" s="16"/>
    </row>
    <row r="4988" spans="5:16" hidden="1" x14ac:dyDescent="0.25">
      <c r="E4988" s="43">
        <f>COUNTIF($O$7:O4988,FORMULARIO!$AA$2)</f>
        <v>1</v>
      </c>
      <c r="M4988" s="46"/>
      <c r="P4988" s="16"/>
    </row>
    <row r="4989" spans="5:16" hidden="1" x14ac:dyDescent="0.25">
      <c r="E4989" s="43">
        <f>COUNTIF($O$7:O4989,FORMULARIO!$AA$2)</f>
        <v>1</v>
      </c>
      <c r="M4989" s="46"/>
      <c r="P4989" s="16"/>
    </row>
    <row r="4990" spans="5:16" hidden="1" x14ac:dyDescent="0.25">
      <c r="E4990" s="43">
        <f>COUNTIF($O$7:O4990,FORMULARIO!$AA$2)</f>
        <v>1</v>
      </c>
      <c r="M4990" s="46"/>
      <c r="P4990" s="16"/>
    </row>
    <row r="4991" spans="5:16" hidden="1" x14ac:dyDescent="0.25">
      <c r="E4991" s="43">
        <f>COUNTIF($O$7:O4991,FORMULARIO!$AA$2)</f>
        <v>1</v>
      </c>
      <c r="M4991" s="46"/>
      <c r="P4991" s="16"/>
    </row>
    <row r="4992" spans="5:16" hidden="1" x14ac:dyDescent="0.25">
      <c r="E4992" s="43">
        <f>COUNTIF($O$7:O4992,FORMULARIO!$AA$2)</f>
        <v>1</v>
      </c>
      <c r="M4992" s="46"/>
      <c r="P4992" s="16"/>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9</vt:i4>
      </vt:variant>
    </vt:vector>
  </HeadingPairs>
  <TitlesOfParts>
    <vt:vector size="13" baseType="lpstr">
      <vt:lpstr>MESES</vt:lpstr>
      <vt:lpstr>CITAS</vt:lpstr>
      <vt:lpstr>FORMULARIO</vt:lpstr>
      <vt:lpstr>BD_CITA</vt:lpstr>
      <vt:lpstr>MESES!Área_de_impresión</vt:lpstr>
      <vt:lpstr>CalendarYear</vt:lpstr>
      <vt:lpstr>ColumnTitleRegion1..H12.1</vt:lpstr>
      <vt:lpstr>CITAS!ColumnTitleRegion1..H12.12</vt:lpstr>
      <vt:lpstr>ColumnTitleRegion2..C14.1</vt:lpstr>
      <vt:lpstr>CITAS!ColumnTitleRegion2..C14.12</vt:lpstr>
      <vt:lpstr>BD_CITA!Criterios</vt:lpstr>
      <vt:lpstr>MESES</vt:lpstr>
      <vt:lpstr>WeekStart</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USUARIO</dc:creator>
  <cp:lastModifiedBy>bambam</cp:lastModifiedBy>
  <dcterms:created xsi:type="dcterms:W3CDTF">2016-12-02T06:02:37Z</dcterms:created>
  <dcterms:modified xsi:type="dcterms:W3CDTF">2022-05-20T01:51:22Z</dcterms:modified>
</cp:coreProperties>
</file>